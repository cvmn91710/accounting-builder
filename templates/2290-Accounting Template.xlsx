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backupFile="1"/>
  <mc:AlternateContent xmlns:mc="http://schemas.openxmlformats.org/markup-compatibility/2006">
    <mc:Choice Requires="x15">
      <x15ac:absPath xmlns:x15ac="http://schemas.microsoft.com/office/spreadsheetml/2010/11/ac" url="C:\Users\cfernandez\AppData\Roaming\Actionstep\Office\Documents\sgraveslaw\actions\2290\493503\2026-03-12-09-53-14\"/>
    </mc:Choice>
  </mc:AlternateContent>
  <xr:revisionPtr revIDLastSave="0" documentId="13_ncr:1_{2A1B9109-AD3C-4D8C-8BEF-8B10E495AE56}" xr6:coauthVersionLast="47" xr6:coauthVersionMax="47" xr10:uidLastSave="{00000000-0000-0000-0000-000000000000}"/>
  <bookViews>
    <workbookView xWindow="-120" yWindow="-120" windowWidth="29040" windowHeight="15720" tabRatio="859" xr2:uid="{CFE8FC13-346D-4AA1-B0C2-B98F52704C85}"/>
  </bookViews>
  <sheets>
    <sheet name="Working Balance" sheetId="1" r:id="rId1"/>
    <sheet name="Statements" sheetId="2" r:id="rId2"/>
    <sheet name="Bank Statement Transactions" sheetId="3" r:id="rId3"/>
    <sheet name="POH @ Beginning Schedule B" sheetId="5" r:id="rId4"/>
    <sheet name="POH @ End Schedule E" sheetId="6" r:id="rId5"/>
    <sheet name="Schedule A " sheetId="7" r:id="rId6"/>
    <sheet name="Schedule C" sheetId="9" r:id="rId7"/>
    <sheet name="Schedule F" sheetId="12" r:id="rId8"/>
  </sheets>
  <definedNames>
    <definedName name="_xlnm.Print_Area" localSheetId="3">'POH @ Beginning Schedule B'!$A$1:$E$27</definedName>
    <definedName name="_xlnm.Print_Area" localSheetId="4">'POH @ End Schedule E'!$A$1:$E$32</definedName>
    <definedName name="_xlnm.Print_Area" localSheetId="5">'Schedule A '!$A$1:$E$54</definedName>
    <definedName name="_xlnm.Print_Area" localSheetId="6">'Schedule C'!$A$1:$F$114</definedName>
    <definedName name="_xlnm.Print_Area" localSheetId="7">'Schedule F'!$A$1:$F$25</definedName>
    <definedName name="_xlnm.Print_Area" localSheetId="0">'Working Balance'!$A$1:$F$30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2" i="9" l="1"/>
  <c r="F43" i="9"/>
  <c r="E32" i="7"/>
  <c r="E15" i="7"/>
  <c r="H28" i="3"/>
  <c r="F32" i="3" s="1"/>
  <c r="G28" i="3"/>
  <c r="E19" i="6" l="1"/>
  <c r="E22" i="6" s="1"/>
  <c r="D19" i="6"/>
  <c r="D22" i="6" s="1"/>
  <c r="E18" i="5"/>
  <c r="E21" i="5" s="1"/>
  <c r="D18" i="5"/>
  <c r="D21" i="5" s="1"/>
  <c r="D16" i="1"/>
  <c r="F10" i="12"/>
  <c r="F12" i="12" s="1"/>
  <c r="E42" i="7" l="1"/>
  <c r="E44" i="7" s="1"/>
  <c r="D12" i="5"/>
  <c r="D20" i="5" s="1"/>
  <c r="E12" i="5"/>
  <c r="F21" i="9"/>
  <c r="F23" i="9" s="1"/>
  <c r="F56" i="9"/>
  <c r="F59" i="9" s="1"/>
  <c r="D23" i="1"/>
  <c r="E12" i="6"/>
  <c r="E21" i="6" s="1"/>
  <c r="D12" i="6"/>
  <c r="D21" i="6" s="1"/>
  <c r="D12" i="1"/>
  <c r="H12" i="3"/>
  <c r="G12" i="3"/>
  <c r="E20" i="5" l="1"/>
  <c r="E23" i="5" s="1"/>
  <c r="D23" i="5"/>
  <c r="D24" i="6"/>
  <c r="F16" i="3"/>
  <c r="D11" i="1" l="1"/>
  <c r="D13" i="1" s="1"/>
  <c r="D46" i="7"/>
  <c r="D15" i="1" s="1"/>
  <c r="E24" i="6"/>
  <c r="D22" i="1"/>
  <c r="D18" i="1" l="1"/>
  <c r="D24" i="1"/>
  <c r="F84" i="9"/>
  <c r="F86" i="9"/>
  <c r="F98" i="9"/>
  <c r="D26" i="1"/>
  <c r="D28" i="1"/>
</calcChain>
</file>

<file path=xl/sharedStrings.xml><?xml version="1.0" encoding="utf-8"?>
<sst xmlns="http://schemas.openxmlformats.org/spreadsheetml/2006/main" count="195" uniqueCount="89">
  <si>
    <t>Summary of Account</t>
  </si>
  <si>
    <t>Cash Assets</t>
  </si>
  <si>
    <t>Non-Cash Assets</t>
  </si>
  <si>
    <t>Schedule A</t>
  </si>
  <si>
    <t>Schedule F</t>
  </si>
  <si>
    <t>Schedule C</t>
  </si>
  <si>
    <t>Included on I&amp;A?</t>
  </si>
  <si>
    <t>Date</t>
  </si>
  <si>
    <t>Need?</t>
  </si>
  <si>
    <t>Have Stmt? (1 or 0)</t>
  </si>
  <si>
    <t>Have Copy Chks? (1 or 0)</t>
  </si>
  <si>
    <t>Input ?</t>
  </si>
  <si>
    <t>Description</t>
  </si>
  <si>
    <t>Acct  Number</t>
  </si>
  <si>
    <t>Check Number</t>
  </si>
  <si>
    <t>Copy of Chk</t>
  </si>
  <si>
    <t xml:space="preserve">Debit </t>
  </si>
  <si>
    <t>Credit</t>
  </si>
  <si>
    <t xml:space="preserve">Additonal Info. </t>
  </si>
  <si>
    <t>TOTALS</t>
  </si>
  <si>
    <t xml:space="preserve"> BALACE AT DOD</t>
  </si>
  <si>
    <t>TOTAL DEBT- TOTAL CREDIT</t>
  </si>
  <si>
    <t>BALANCED= YES</t>
  </si>
  <si>
    <t>Cash and Cash Equivalents</t>
  </si>
  <si>
    <t xml:space="preserve">Description </t>
  </si>
  <si>
    <t>Market Value</t>
  </si>
  <si>
    <t>Carry Value</t>
  </si>
  <si>
    <t>Total Cash and Cash Equivalents</t>
  </si>
  <si>
    <t>Total Cash Assets</t>
  </si>
  <si>
    <t>Total Non-Cash Assets</t>
  </si>
  <si>
    <t>Total Property on Hand at the Beginning of the Accounting Period</t>
  </si>
  <si>
    <t>Property on Hand at End of Accounting Period</t>
  </si>
  <si>
    <t>Schedule E</t>
  </si>
  <si>
    <t>Receipts</t>
  </si>
  <si>
    <t>Interest:</t>
  </si>
  <si>
    <t>Amount</t>
  </si>
  <si>
    <t xml:space="preserve">Total Interest </t>
  </si>
  <si>
    <t>Pensions, Annuities, and Other Regular Periodic Payments:</t>
  </si>
  <si>
    <t>Total Pensions, Annuities, and Other Regular Periodic Payments:</t>
  </si>
  <si>
    <t>Schedule A (Continued)</t>
  </si>
  <si>
    <t>Miscellaneous Receipts:</t>
  </si>
  <si>
    <t>Total Miscellaneous Receipts</t>
  </si>
  <si>
    <t>Total Schedule A</t>
  </si>
  <si>
    <t>Disbursements</t>
  </si>
  <si>
    <t>Residential Facility/Caregiver:</t>
  </si>
  <si>
    <t>Account</t>
  </si>
  <si>
    <t>Check</t>
  </si>
  <si>
    <t>Total Residential Facility/Caregiver:</t>
  </si>
  <si>
    <t>Living Expenses:</t>
  </si>
  <si>
    <t xml:space="preserve">Medical Expenses </t>
  </si>
  <si>
    <t xml:space="preserve">Total Medical Expenses </t>
  </si>
  <si>
    <t>Legal &amp; Related Professional Expenses:</t>
  </si>
  <si>
    <t>Total Legal &amp; Related Professional Expenses</t>
  </si>
  <si>
    <t>Total Schedule C</t>
  </si>
  <si>
    <t>Additional Property Received During the Accounting Period</t>
  </si>
  <si>
    <t>Total Additional Property Received</t>
  </si>
  <si>
    <t>Total Schedule F</t>
  </si>
  <si>
    <t>Insurance</t>
  </si>
  <si>
    <t>Total Transamerica Life Insurance</t>
  </si>
  <si>
    <t>Total Insurance Expenses</t>
  </si>
  <si>
    <t>First Account Current</t>
  </si>
  <si>
    <t xml:space="preserve"> of Conservator, Wendy Smith, CLPF</t>
  </si>
  <si>
    <t xml:space="preserve"> 9/26/24 - 11/30/25</t>
  </si>
  <si>
    <t>TOTAL CHARGES</t>
  </si>
  <si>
    <t>TOTAL CREDITS</t>
  </si>
  <si>
    <t>POH Begin (Schedule B)</t>
  </si>
  <si>
    <t>)</t>
  </si>
  <si>
    <t>Cash Receipts (Schedule A)</t>
  </si>
  <si>
    <t>After Acquried Assets (Schedule F)</t>
  </si>
  <si>
    <t>POH End (Schedule E)</t>
  </si>
  <si>
    <t>Cash Disbursement (Schedule C)</t>
  </si>
  <si>
    <t>Property on Hand at Beginning of Accounting Period</t>
  </si>
  <si>
    <t>Schedule B</t>
  </si>
  <si>
    <t>CHARGES</t>
  </si>
  <si>
    <t>CREDITS</t>
  </si>
  <si>
    <t xml:space="preserve"> </t>
  </si>
  <si>
    <t xml:space="preserve">Total Living Expenses </t>
  </si>
  <si>
    <r>
      <t xml:space="preserve">Court and  Case No. </t>
    </r>
    <r>
      <rPr>
        <sz val="11"/>
        <color rgb="FFFF0000"/>
        <rFont val="Times New Roman"/>
        <family val="1"/>
      </rPr>
      <t>EX. San Bernardino County Superior Court Case No. CONVA2400321</t>
    </r>
  </si>
  <si>
    <r>
      <t xml:space="preserve">Name of Case  </t>
    </r>
    <r>
      <rPr>
        <u/>
        <sz val="11"/>
        <color rgb="FFFF0000"/>
        <rFont val="Times New Roman"/>
        <family val="1"/>
      </rPr>
      <t xml:space="preserve">EX. Conservatorship of The Person and Estate of James H. Grizzle, Conversatee </t>
    </r>
  </si>
  <si>
    <t>Bank Name</t>
  </si>
  <si>
    <t>Acct. #</t>
  </si>
  <si>
    <t xml:space="preserve">In the Matter of </t>
  </si>
  <si>
    <t>Valued as of Date</t>
  </si>
  <si>
    <t xml:space="preserve">Use I&amp;A Description </t>
  </si>
  <si>
    <t>Total Property on Hand at the End of the Accounting Period</t>
  </si>
  <si>
    <t>From Date</t>
  </si>
  <si>
    <t xml:space="preserve">Miscellanous </t>
  </si>
  <si>
    <t>Insert name of Vendor</t>
  </si>
  <si>
    <t xml:space="preserve">From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</si>
</sst>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;@"/>
    <numFmt numFmtId="165" formatCode="&quot;$&quot;#,##0.00"/>
    <numFmt numFmtId="166" formatCode="mm/dd/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u/>
      <sz val="12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rgb="FFFF0000"/>
      <name val="Times New Roman"/>
      <family val="1"/>
    </font>
    <font>
      <u/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u/>
      <sz val="1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8">
    <xf numFmtId="0" fontId="0" fillId="0" borderId="0" xfId="0"/>
    <xf numFmtId="0" fontId="4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2" borderId="0" xfId="0" applyFont="1" applyFill="1" applyAlignment="1">
      <alignment horizontal="center" vertical="center"/>
    </xf>
    <xf numFmtId="44" fontId="5" fillId="2" borderId="0" xfId="0" applyNumberFormat="1" applyFont="1" applyFill="1"/>
    <xf numFmtId="0" fontId="0" fillId="0" borderId="7" xfId="0" applyBorder="1" applyAlignment="1">
      <alignment vertical="center"/>
    </xf>
    <xf numFmtId="16" fontId="0" fillId="0" borderId="7" xfId="0" applyNumberFormat="1" applyBorder="1" applyAlignment="1">
      <alignment vertical="center"/>
    </xf>
    <xf numFmtId="164" fontId="0" fillId="0" borderId="0" xfId="0" applyNumberFormat="1"/>
    <xf numFmtId="0" fontId="0" fillId="4" borderId="9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44" fontId="0" fillId="4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4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44" fontId="0" fillId="0" borderId="7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5" borderId="6" xfId="0" applyNumberForma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44" fontId="0" fillId="5" borderId="7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4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6" fillId="2" borderId="0" xfId="0" applyFont="1" applyFill="1"/>
    <xf numFmtId="0" fontId="5" fillId="2" borderId="0" xfId="0" applyFont="1" applyFill="1" applyAlignment="1">
      <alignment wrapText="1"/>
    </xf>
    <xf numFmtId="0" fontId="5" fillId="2" borderId="32" xfId="0" applyFont="1" applyFill="1" applyBorder="1"/>
    <xf numFmtId="43" fontId="5" fillId="2" borderId="0" xfId="2" applyNumberFormat="1" applyFont="1" applyFill="1" applyAlignment="1">
      <alignment vertical="top"/>
    </xf>
    <xf numFmtId="44" fontId="5" fillId="2" borderId="0" xfId="2" applyFont="1" applyFill="1"/>
    <xf numFmtId="0" fontId="5" fillId="2" borderId="0" xfId="0" applyFont="1" applyFill="1" applyAlignment="1">
      <alignment horizontal="left" vertical="top" wrapText="1"/>
    </xf>
    <xf numFmtId="44" fontId="7" fillId="2" borderId="2" xfId="2" applyFont="1" applyFill="1" applyBorder="1"/>
    <xf numFmtId="44" fontId="7" fillId="2" borderId="3" xfId="2" applyFont="1" applyFill="1" applyBorder="1"/>
    <xf numFmtId="44" fontId="7" fillId="2" borderId="2" xfId="0" applyNumberFormat="1" applyFont="1" applyFill="1" applyBorder="1"/>
    <xf numFmtId="44" fontId="7" fillId="2" borderId="3" xfId="0" applyNumberFormat="1" applyFont="1" applyFill="1" applyBorder="1"/>
    <xf numFmtId="0" fontId="5" fillId="2" borderId="0" xfId="0" applyFont="1" applyFill="1" applyAlignment="1">
      <alignment horizontal="left"/>
    </xf>
    <xf numFmtId="44" fontId="5" fillId="2" borderId="0" xfId="0" applyNumberFormat="1" applyFont="1" applyFill="1" applyAlignment="1">
      <alignment horizontal="center" vertical="center"/>
    </xf>
    <xf numFmtId="44" fontId="5" fillId="2" borderId="32" xfId="0" applyNumberFormat="1" applyFont="1" applyFill="1" applyBorder="1"/>
    <xf numFmtId="0" fontId="5" fillId="2" borderId="0" xfId="0" applyFont="1" applyFill="1" applyAlignment="1">
      <alignment horizontal="center" vertical="center" wrapText="1"/>
    </xf>
    <xf numFmtId="43" fontId="5" fillId="2" borderId="0" xfId="1" applyFont="1" applyFill="1" applyAlignment="1">
      <alignment vertical="top"/>
    </xf>
    <xf numFmtId="0" fontId="5" fillId="2" borderId="32" xfId="0" applyFont="1" applyFill="1" applyBorder="1" applyAlignment="1">
      <alignment horizontal="center" vertical="center" wrapText="1"/>
    </xf>
    <xf numFmtId="43" fontId="5" fillId="2" borderId="5" xfId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43" fontId="5" fillId="2" borderId="0" xfId="1" applyFont="1" applyFill="1" applyAlignment="1">
      <alignment horizontal="center" vertical="center"/>
    </xf>
    <xf numFmtId="43" fontId="5" fillId="2" borderId="0" xfId="2" applyNumberFormat="1" applyFont="1" applyFill="1"/>
    <xf numFmtId="0" fontId="5" fillId="2" borderId="5" xfId="0" applyFont="1" applyFill="1" applyBorder="1" applyAlignment="1">
      <alignment wrapText="1"/>
    </xf>
    <xf numFmtId="43" fontId="5" fillId="2" borderId="5" xfId="2" applyNumberFormat="1" applyFont="1" applyFill="1" applyBorder="1"/>
    <xf numFmtId="0" fontId="5" fillId="2" borderId="5" xfId="0" applyFont="1" applyFill="1" applyBorder="1"/>
    <xf numFmtId="43" fontId="5" fillId="2" borderId="0" xfId="1" applyFont="1" applyFill="1" applyBorder="1"/>
    <xf numFmtId="43" fontId="5" fillId="2" borderId="0" xfId="2" applyNumberFormat="1" applyFont="1" applyFill="1" applyBorder="1"/>
    <xf numFmtId="0" fontId="7" fillId="2" borderId="5" xfId="0" applyFont="1" applyFill="1" applyBorder="1" applyAlignment="1">
      <alignment wrapText="1"/>
    </xf>
    <xf numFmtId="43" fontId="5" fillId="2" borderId="5" xfId="0" applyNumberFormat="1" applyFont="1" applyFill="1" applyBorder="1"/>
    <xf numFmtId="14" fontId="5" fillId="2" borderId="32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/>
    <xf numFmtId="43" fontId="4" fillId="2" borderId="3" xfId="2" applyNumberFormat="1" applyFont="1" applyFill="1" applyBorder="1"/>
    <xf numFmtId="0" fontId="0" fillId="2" borderId="0" xfId="0" applyFill="1"/>
    <xf numFmtId="0" fontId="8" fillId="2" borderId="0" xfId="0" applyFont="1" applyFill="1"/>
    <xf numFmtId="0" fontId="9" fillId="2" borderId="5" xfId="0" applyFont="1" applyFill="1" applyBorder="1"/>
    <xf numFmtId="0" fontId="8" fillId="2" borderId="5" xfId="0" applyFont="1" applyFill="1" applyBorder="1"/>
    <xf numFmtId="0" fontId="4" fillId="2" borderId="1" xfId="0" applyFont="1" applyFill="1" applyBorder="1"/>
    <xf numFmtId="0" fontId="5" fillId="2" borderId="0" xfId="0" applyFont="1" applyFill="1" applyAlignment="1">
      <alignment horizontal="left" vertical="top"/>
    </xf>
    <xf numFmtId="14" fontId="0" fillId="4" borderId="8" xfId="0" applyNumberForma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16" fontId="0" fillId="0" borderId="19" xfId="0" applyNumberFormat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3" fontId="0" fillId="0" borderId="0" xfId="0" applyNumberFormat="1" applyAlignment="1">
      <alignment horizontal="center" vertical="center"/>
    </xf>
    <xf numFmtId="3" fontId="0" fillId="4" borderId="0" xfId="0" applyNumberFormat="1" applyFill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5" borderId="7" xfId="0" applyNumberFormat="1" applyFill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44" fontId="5" fillId="2" borderId="0" xfId="2" applyFont="1" applyFill="1" applyAlignment="1">
      <alignment horizontal="right"/>
    </xf>
    <xf numFmtId="2" fontId="5" fillId="2" borderId="0" xfId="2" applyNumberFormat="1" applyFont="1" applyFill="1" applyAlignment="1">
      <alignment horizontal="right"/>
    </xf>
    <xf numFmtId="2" fontId="5" fillId="2" borderId="0" xfId="0" applyNumberFormat="1" applyFont="1" applyFill="1" applyAlignment="1">
      <alignment horizontal="right"/>
    </xf>
    <xf numFmtId="44" fontId="5" fillId="2" borderId="5" xfId="2" applyFont="1" applyFill="1" applyBorder="1" applyAlignment="1">
      <alignment horizontal="right"/>
    </xf>
    <xf numFmtId="2" fontId="5" fillId="2" borderId="0" xfId="1" applyNumberFormat="1" applyFont="1" applyFill="1" applyBorder="1" applyAlignment="1">
      <alignment horizontal="right"/>
    </xf>
    <xf numFmtId="44" fontId="5" fillId="2" borderId="0" xfId="2" applyFont="1" applyFill="1" applyBorder="1" applyAlignment="1">
      <alignment horizontal="right"/>
    </xf>
    <xf numFmtId="43" fontId="5" fillId="2" borderId="0" xfId="1" applyFont="1" applyFill="1" applyBorder="1" applyAlignment="1">
      <alignment horizontal="center" vertical="center"/>
    </xf>
    <xf numFmtId="39" fontId="5" fillId="2" borderId="0" xfId="2" applyNumberFormat="1" applyFont="1" applyFill="1" applyBorder="1" applyAlignment="1">
      <alignment horizontal="right"/>
    </xf>
    <xf numFmtId="0" fontId="5" fillId="2" borderId="32" xfId="0" applyFont="1" applyFill="1" applyBorder="1" applyAlignment="1">
      <alignment horizontal="center" vertical="center"/>
    </xf>
    <xf numFmtId="43" fontId="5" fillId="2" borderId="32" xfId="2" applyNumberFormat="1" applyFont="1" applyFill="1" applyBorder="1" applyAlignment="1">
      <alignment horizontal="center" vertical="center"/>
    </xf>
    <xf numFmtId="44" fontId="5" fillId="2" borderId="0" xfId="2" applyFont="1" applyFill="1" applyBorder="1"/>
    <xf numFmtId="44" fontId="5" fillId="2" borderId="5" xfId="2" applyFont="1" applyFill="1" applyBorder="1"/>
    <xf numFmtId="0" fontId="7" fillId="2" borderId="0" xfId="0" applyFont="1" applyFill="1" applyAlignment="1">
      <alignment wrapText="1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wrapText="1"/>
    </xf>
    <xf numFmtId="44" fontId="5" fillId="2" borderId="0" xfId="2" applyFont="1" applyFill="1" applyAlignment="1">
      <alignment vertical="top"/>
    </xf>
    <xf numFmtId="44" fontId="5" fillId="2" borderId="0" xfId="0" applyNumberFormat="1" applyFont="1" applyFill="1" applyAlignment="1">
      <alignment horizontal="left" vertical="top"/>
    </xf>
    <xf numFmtId="166" fontId="8" fillId="2" borderId="7" xfId="0" applyNumberFormat="1" applyFont="1" applyFill="1" applyBorder="1" applyAlignment="1">
      <alignment horizontal="center" vertical="center"/>
    </xf>
    <xf numFmtId="166" fontId="8" fillId="2" borderId="21" xfId="0" applyNumberFormat="1" applyFont="1" applyFill="1" applyBorder="1" applyAlignment="1">
      <alignment horizontal="center" vertical="center"/>
    </xf>
    <xf numFmtId="166" fontId="8" fillId="2" borderId="0" xfId="0" applyNumberFormat="1" applyFont="1" applyFill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165" fontId="8" fillId="2" borderId="22" xfId="0" applyNumberFormat="1" applyFont="1" applyFill="1" applyBorder="1"/>
    <xf numFmtId="165" fontId="8" fillId="2" borderId="7" xfId="0" applyNumberFormat="1" applyFont="1" applyFill="1" applyBorder="1" applyAlignment="1">
      <alignment horizontal="left"/>
    </xf>
    <xf numFmtId="165" fontId="8" fillId="2" borderId="0" xfId="0" applyNumberFormat="1" applyFont="1" applyFill="1"/>
    <xf numFmtId="165" fontId="8" fillId="2" borderId="0" xfId="2" applyNumberFormat="1" applyFont="1" applyFill="1" applyBorder="1" applyAlignment="1">
      <alignment vertical="top"/>
    </xf>
    <xf numFmtId="165" fontId="8" fillId="2" borderId="5" xfId="0" applyNumberFormat="1" applyFont="1" applyFill="1" applyBorder="1"/>
    <xf numFmtId="165" fontId="4" fillId="2" borderId="3" xfId="0" applyNumberFormat="1" applyFont="1" applyFill="1" applyBorder="1"/>
    <xf numFmtId="165" fontId="0" fillId="2" borderId="0" xfId="0" applyNumberFormat="1" applyFill="1"/>
    <xf numFmtId="0" fontId="11" fillId="2" borderId="0" xfId="0" applyFont="1" applyFill="1" applyAlignment="1">
      <alignment vertical="top"/>
    </xf>
    <xf numFmtId="0" fontId="11" fillId="2" borderId="0" xfId="0" applyFont="1" applyFill="1" applyAlignment="1">
      <alignment vertical="top" wrapText="1"/>
    </xf>
    <xf numFmtId="166" fontId="5" fillId="2" borderId="0" xfId="0" applyNumberFormat="1" applyFont="1" applyFill="1" applyAlignment="1">
      <alignment horizontal="left" vertical="top"/>
    </xf>
    <xf numFmtId="166" fontId="6" fillId="2" borderId="0" xfId="0" applyNumberFormat="1" applyFont="1" applyFill="1" applyAlignment="1">
      <alignment horizontal="left" vertical="top"/>
    </xf>
    <xf numFmtId="0" fontId="7" fillId="2" borderId="5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2" fontId="5" fillId="2" borderId="32" xfId="1" applyNumberFormat="1" applyFont="1" applyFill="1" applyBorder="1" applyAlignment="1">
      <alignment horizontal="right"/>
    </xf>
    <xf numFmtId="166" fontId="5" fillId="2" borderId="32" xfId="0" applyNumberFormat="1" applyFont="1" applyFill="1" applyBorder="1" applyAlignment="1">
      <alignment horizontal="left" vertical="top"/>
    </xf>
    <xf numFmtId="0" fontId="6" fillId="2" borderId="0" xfId="0" applyFont="1" applyFill="1" applyAlignment="1">
      <alignment horizontal="center"/>
    </xf>
    <xf numFmtId="44" fontId="5" fillId="2" borderId="32" xfId="0" applyNumberFormat="1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44" fontId="7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top"/>
    </xf>
    <xf numFmtId="44" fontId="5" fillId="2" borderId="32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vertical="top" wrapText="1"/>
    </xf>
    <xf numFmtId="44" fontId="7" fillId="2" borderId="0" xfId="2" applyFont="1" applyFill="1" applyBorder="1"/>
    <xf numFmtId="0" fontId="10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left" vertical="top"/>
    </xf>
    <xf numFmtId="0" fontId="6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top"/>
    </xf>
    <xf numFmtId="0" fontId="13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5" fillId="2" borderId="32" xfId="0" applyFont="1" applyFill="1" applyBorder="1" applyAlignment="1">
      <alignment vertical="top" wrapText="1"/>
    </xf>
    <xf numFmtId="0" fontId="7" fillId="2" borderId="23" xfId="0" applyFont="1" applyFill="1" applyBorder="1" applyAlignment="1">
      <alignment vertical="top" wrapText="1"/>
    </xf>
    <xf numFmtId="0" fontId="7" fillId="2" borderId="24" xfId="0" applyFont="1" applyFill="1" applyBorder="1" applyAlignment="1">
      <alignment vertical="top" wrapText="1"/>
    </xf>
    <xf numFmtId="0" fontId="7" fillId="2" borderId="27" xfId="0" applyFont="1" applyFill="1" applyBorder="1" applyAlignment="1">
      <alignment vertical="top" wrapText="1"/>
    </xf>
    <xf numFmtId="0" fontId="7" fillId="2" borderId="26" xfId="0" applyFont="1" applyFill="1" applyBorder="1" applyAlignment="1">
      <alignment vertical="top" wrapText="1"/>
    </xf>
    <xf numFmtId="44" fontId="7" fillId="2" borderId="24" xfId="0" applyNumberFormat="1" applyFont="1" applyFill="1" applyBorder="1" applyAlignment="1">
      <alignment horizontal="center" vertical="top"/>
    </xf>
    <xf numFmtId="44" fontId="7" fillId="2" borderId="26" xfId="0" applyNumberFormat="1" applyFont="1" applyFill="1" applyBorder="1" applyAlignment="1">
      <alignment horizontal="center" vertical="top"/>
    </xf>
    <xf numFmtId="44" fontId="7" fillId="2" borderId="25" xfId="0" applyNumberFormat="1" applyFont="1" applyFill="1" applyBorder="1" applyAlignment="1">
      <alignment horizontal="center" vertical="top"/>
    </xf>
    <xf numFmtId="44" fontId="7" fillId="2" borderId="28" xfId="0" applyNumberFormat="1" applyFont="1" applyFill="1" applyBorder="1" applyAlignment="1">
      <alignment horizontal="center" vertical="top"/>
    </xf>
    <xf numFmtId="0" fontId="16" fillId="2" borderId="33" xfId="0" applyFont="1" applyFill="1" applyBorder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10" fillId="2" borderId="2" xfId="0" applyFont="1" applyFill="1" applyBorder="1" applyAlignment="1">
      <alignment vertical="top" wrapText="1"/>
    </xf>
    <xf numFmtId="0" fontId="11" fillId="2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left" wrapText="1"/>
    </xf>
    <xf numFmtId="0" fontId="10" fillId="2" borderId="2" xfId="0" applyFont="1" applyFill="1" applyBorder="1" applyAlignment="1">
      <alignment horizontal="left" wrapText="1"/>
    </xf>
    <xf numFmtId="0" fontId="7" fillId="2" borderId="23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5" fillId="2" borderId="32" xfId="0" applyFont="1" applyFill="1" applyBorder="1" applyAlignment="1">
      <alignment horizontal="left" wrapText="1"/>
    </xf>
    <xf numFmtId="165" fontId="4" fillId="2" borderId="2" xfId="2" applyNumberFormat="1" applyFont="1" applyFill="1" applyBorder="1" applyAlignment="1">
      <alignment horizontal="right"/>
    </xf>
    <xf numFmtId="165" fontId="4" fillId="2" borderId="3" xfId="2" applyNumberFormat="1" applyFont="1" applyFill="1" applyBorder="1" applyAlignment="1">
      <alignment horizontal="right"/>
    </xf>
    <xf numFmtId="0" fontId="5" fillId="2" borderId="5" xfId="0" applyFont="1" applyFill="1" applyBorder="1" applyAlignment="1">
      <alignment horizontal="center" vertical="center"/>
    </xf>
    <xf numFmtId="14" fontId="6" fillId="2" borderId="23" xfId="0" applyNumberFormat="1" applyFont="1" applyFill="1" applyBorder="1" applyAlignment="1">
      <alignment horizontal="center" vertical="center"/>
    </xf>
    <xf numFmtId="14" fontId="6" fillId="2" borderId="24" xfId="0" applyNumberFormat="1" applyFont="1" applyFill="1" applyBorder="1" applyAlignment="1">
      <alignment horizontal="center" vertical="center"/>
    </xf>
    <xf numFmtId="14" fontId="6" fillId="2" borderId="25" xfId="0" applyNumberFormat="1" applyFont="1" applyFill="1" applyBorder="1" applyAlignment="1">
      <alignment horizontal="center" vertical="center"/>
    </xf>
    <xf numFmtId="14" fontId="6" fillId="2" borderId="27" xfId="0" applyNumberFormat="1" applyFont="1" applyFill="1" applyBorder="1" applyAlignment="1">
      <alignment horizontal="center" vertical="center"/>
    </xf>
    <xf numFmtId="14" fontId="6" fillId="2" borderId="26" xfId="0" applyNumberFormat="1" applyFont="1" applyFill="1" applyBorder="1" applyAlignment="1">
      <alignment horizontal="center" vertical="center"/>
    </xf>
    <xf numFmtId="14" fontId="6" fillId="2" borderId="28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top" wrapText="1"/>
    </xf>
    <xf numFmtId="43" fontId="5" fillId="2" borderId="5" xfId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2" borderId="7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 vertical="top" wrapText="1"/>
    </xf>
    <xf numFmtId="0" fontId="8" fillId="2" borderId="5" xfId="0" applyFont="1" applyFill="1" applyBorder="1" applyAlignment="1">
      <alignment horizontal="left" vertical="top" wrapText="1"/>
    </xf>
    <xf numFmtId="0" fontId="8" fillId="2" borderId="6" xfId="0" applyFont="1" applyFill="1" applyBorder="1" applyAlignment="1">
      <alignment horizontal="left" vertical="top" wrapText="1"/>
    </xf>
    <xf numFmtId="14" fontId="6" fillId="2" borderId="0" xfId="0" applyNumberFormat="1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 wrapText="1"/>
    </xf>
    <xf numFmtId="2" fontId="5" fillId="2" borderId="32" xfId="0" applyNumberFormat="1" applyFont="1" applyFill="1" applyBorder="1" applyAlignment="1">
      <alignment horizontal="right"/>
    </xf>
    <xf numFmtId="14" fontId="17" fillId="2" borderId="0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</cellXfs>
  <cellStyles count="3">
    <cellStyle name="Comma" xfId="1" builtinId="3"/>
    <cellStyle name="Currency" xfId="2" builtinId="4"/>
    <cellStyle name="Normal" xfId="0" builtinId="0"/>
  </cellStyles>
  <dxfs count="3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A606A3-EE3E-4F45-9E2A-B0D5CD0FC612}" name="Table3" displayName="Table3" ref="B3:I16" totalsRowShown="0" headerRowDxfId="31" tableBorderDxfId="30">
  <autoFilter ref="B3:I16" xr:uid="{A0A606A3-EE3E-4F45-9E2A-B0D5CD0FC612}"/>
  <tableColumns count="8">
    <tableColumn id="1" xr3:uid="{8DDA58FB-6CEF-4FEF-B708-B87587B91F90}" name="Date" dataDxfId="29"/>
    <tableColumn id="2" xr3:uid="{D32A3C98-4912-4C00-957A-8F9F63397C88}" name="Description" dataDxfId="28"/>
    <tableColumn id="3" xr3:uid="{A55C3F34-CF3A-4317-B4BA-CC1022848431}" name="Acct  Number" dataDxfId="27"/>
    <tableColumn id="4" xr3:uid="{362B9870-FEA2-46FF-AEF5-142EEFC3460C}" name="Check Number" dataDxfId="26"/>
    <tableColumn id="5" xr3:uid="{C4A2F2D3-A303-4A9E-B085-644BA80876E1}" name="Copy of Chk" dataDxfId="25"/>
    <tableColumn id="6" xr3:uid="{02974F3D-23A6-48F9-983E-24B31909CFE9}" name="Debit " dataDxfId="24"/>
    <tableColumn id="7" xr3:uid="{F1B9D2CB-9C68-4F58-BDF8-DF0131217BE8}" name="Credit" dataDxfId="23"/>
    <tableColumn id="8" xr3:uid="{17F899FD-12F0-423D-B832-A461DCAC39BF}" name="Additonal Info. 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2883A0-D074-453A-9284-E270DD74B388}" name="Table35" displayName="Table35" ref="B19:I32" totalsRowShown="0" headerRowDxfId="21" tableBorderDxfId="20">
  <autoFilter ref="B19:I32" xr:uid="{A22883A0-D074-453A-9284-E270DD74B388}"/>
  <tableColumns count="8">
    <tableColumn id="1" xr3:uid="{FEB45804-636E-4F87-A3B9-4C1D1D21F2D9}" name="Date" dataDxfId="19"/>
    <tableColumn id="2" xr3:uid="{3EFEA1A8-6BD7-467F-9432-DAD8D7EB2C58}" name="Description" dataDxfId="18"/>
    <tableColumn id="3" xr3:uid="{E829AA9C-EB66-4386-9780-413810867AD4}" name="Acct  Number" dataDxfId="17"/>
    <tableColumn id="4" xr3:uid="{EC5A469F-172B-4658-AAB8-AA6C47DB0848}" name="Check Number" dataDxfId="16"/>
    <tableColumn id="5" xr3:uid="{0695BD86-1612-4C3B-812E-DEA5FEDB061F}" name="Copy of Chk" dataDxfId="15"/>
    <tableColumn id="6" xr3:uid="{7672F4C4-B712-40B8-896D-526E9DE207B8}" name="Debit " dataDxfId="14"/>
    <tableColumn id="7" xr3:uid="{0716DA07-C95C-419D-907F-58811CD5BE42}" name="Credit" dataDxfId="13"/>
    <tableColumn id="8" xr3:uid="{E7F03A3B-46C0-4624-8600-1A97FBE89A17}" name="Additonal Info. 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D7A15-A6F1-4354-9E0A-F5BD5DB779BB}">
  <dimension ref="A1:M29"/>
  <sheetViews>
    <sheetView tabSelected="1" zoomScaleNormal="100" workbookViewId="0">
      <selection activeCell="B20" sqref="B20:F20"/>
    </sheetView>
  </sheetViews>
  <sheetFormatPr defaultColWidth="9.28515625" defaultRowHeight="15.75" x14ac:dyDescent="0.25"/>
  <cols>
    <col min="1" max="1" width="2.85546875" style="2" customWidth="1"/>
    <col min="2" max="2" width="9.5703125" style="2" customWidth="1"/>
    <col min="3" max="3" width="31.85546875" style="2" customWidth="1"/>
    <col min="4" max="4" width="25.7109375" style="2" customWidth="1"/>
    <col min="5" max="5" width="13.5703125" style="2" customWidth="1"/>
    <col min="6" max="6" width="0.140625" style="2" hidden="1" customWidth="1"/>
    <col min="7" max="16384" width="9.28515625" style="2"/>
  </cols>
  <sheetData>
    <row r="1" spans="1:11" x14ac:dyDescent="0.25">
      <c r="A1" s="136" t="s">
        <v>78</v>
      </c>
      <c r="B1" s="136"/>
      <c r="C1" s="136"/>
      <c r="D1" s="136"/>
    </row>
    <row r="2" spans="1:11" x14ac:dyDescent="0.25">
      <c r="A2" s="135" t="s">
        <v>77</v>
      </c>
      <c r="B2" s="135"/>
      <c r="C2" s="135"/>
      <c r="D2" s="135"/>
    </row>
    <row r="3" spans="1:11" ht="12.75" customHeight="1" x14ac:dyDescent="0.25">
      <c r="B3" s="66"/>
      <c r="C3" s="66"/>
      <c r="D3" s="66"/>
      <c r="E3" s="66"/>
      <c r="F3" s="66"/>
    </row>
    <row r="4" spans="1:11" ht="18.75" x14ac:dyDescent="0.25">
      <c r="B4" s="133" t="s">
        <v>60</v>
      </c>
      <c r="C4" s="133"/>
      <c r="D4" s="133"/>
      <c r="E4" s="133"/>
      <c r="F4" s="133"/>
    </row>
    <row r="5" spans="1:11" ht="18.75" x14ac:dyDescent="0.25">
      <c r="B5" s="133" t="s">
        <v>61</v>
      </c>
      <c r="C5" s="133"/>
      <c r="D5" s="133"/>
      <c r="E5" s="133"/>
      <c r="F5" s="133"/>
    </row>
    <row r="6" spans="1:11" ht="18.75" x14ac:dyDescent="0.25">
      <c r="B6" s="133" t="s">
        <v>0</v>
      </c>
      <c r="C6" s="133"/>
      <c r="D6" s="133"/>
      <c r="E6" s="133"/>
      <c r="F6" s="133"/>
    </row>
    <row r="7" spans="1:11" x14ac:dyDescent="0.25">
      <c r="B7" s="134" t="s">
        <v>62</v>
      </c>
      <c r="C7" s="134"/>
      <c r="D7" s="134"/>
      <c r="E7" s="134"/>
      <c r="F7" s="134"/>
    </row>
    <row r="8" spans="1:11" ht="16.5" thickBot="1" x14ac:dyDescent="0.3">
      <c r="B8" s="3"/>
      <c r="C8" s="3"/>
      <c r="D8" s="3"/>
      <c r="E8" s="3"/>
      <c r="F8" s="3"/>
    </row>
    <row r="9" spans="1:11" ht="16.5" thickBot="1" x14ac:dyDescent="0.3">
      <c r="B9" s="137" t="s">
        <v>73</v>
      </c>
      <c r="C9" s="138"/>
      <c r="D9" s="138"/>
      <c r="E9" s="138"/>
      <c r="F9" s="139"/>
    </row>
    <row r="10" spans="1:11" x14ac:dyDescent="0.25">
      <c r="B10" s="3"/>
      <c r="C10" s="125" t="s">
        <v>65</v>
      </c>
      <c r="D10" s="3"/>
      <c r="E10" s="3"/>
      <c r="F10" s="3"/>
    </row>
    <row r="11" spans="1:11" x14ac:dyDescent="0.25">
      <c r="B11" s="3"/>
      <c r="C11" s="66" t="s">
        <v>1</v>
      </c>
      <c r="D11" s="95">
        <f>'POH @ Beginning Schedule B'!E20</f>
        <v>0</v>
      </c>
      <c r="E11" s="3"/>
      <c r="F11" s="3"/>
    </row>
    <row r="12" spans="1:11" x14ac:dyDescent="0.25">
      <c r="B12" s="3"/>
      <c r="C12" s="66" t="s">
        <v>2</v>
      </c>
      <c r="D12" s="116">
        <f>'POH @ Beginning Schedule B'!E21</f>
        <v>0</v>
      </c>
      <c r="E12" s="3"/>
      <c r="F12" s="3"/>
    </row>
    <row r="13" spans="1:11" x14ac:dyDescent="0.25">
      <c r="B13" s="3"/>
      <c r="C13" s="66"/>
      <c r="D13" s="41">
        <f>D11+D12</f>
        <v>0</v>
      </c>
      <c r="E13" s="3"/>
      <c r="F13" s="3"/>
      <c r="K13" s="62"/>
    </row>
    <row r="14" spans="1:11" x14ac:dyDescent="0.25">
      <c r="B14" s="3"/>
      <c r="C14" s="66"/>
      <c r="D14" s="66"/>
      <c r="E14" s="41"/>
      <c r="F14" s="41"/>
      <c r="K14" s="62"/>
    </row>
    <row r="15" spans="1:11" x14ac:dyDescent="0.25">
      <c r="B15" s="3"/>
      <c r="C15" s="66" t="s">
        <v>67</v>
      </c>
      <c r="D15" s="41">
        <f>'Schedule A '!D46</f>
        <v>0</v>
      </c>
      <c r="E15" s="41"/>
      <c r="F15" s="3"/>
    </row>
    <row r="16" spans="1:11" x14ac:dyDescent="0.25">
      <c r="B16" s="120"/>
      <c r="C16" s="120" t="s">
        <v>68</v>
      </c>
      <c r="D16" s="41">
        <f>'Schedule F'!F12</f>
        <v>0</v>
      </c>
      <c r="E16" s="41"/>
      <c r="F16" s="3"/>
    </row>
    <row r="17" spans="2:13" ht="16.5" thickBot="1" x14ac:dyDescent="0.3">
      <c r="B17" s="3"/>
      <c r="C17" s="3"/>
      <c r="D17" s="3"/>
      <c r="E17" s="41"/>
      <c r="F17" s="3"/>
    </row>
    <row r="18" spans="2:13" ht="16.5" thickBot="1" x14ac:dyDescent="0.3">
      <c r="B18" s="3"/>
      <c r="C18" s="117" t="s">
        <v>63</v>
      </c>
      <c r="D18" s="118">
        <f>SUM(D13:D16)</f>
        <v>0</v>
      </c>
      <c r="F18" s="3"/>
    </row>
    <row r="19" spans="2:13" ht="16.5" thickBot="1" x14ac:dyDescent="0.3">
      <c r="B19" s="3"/>
      <c r="C19" s="3"/>
      <c r="D19" s="3"/>
      <c r="E19" s="3"/>
      <c r="F19" s="3"/>
    </row>
    <row r="20" spans="2:13" ht="16.5" thickBot="1" x14ac:dyDescent="0.3">
      <c r="B20" s="137" t="s">
        <v>74</v>
      </c>
      <c r="C20" s="138"/>
      <c r="D20" s="138"/>
      <c r="E20" s="138"/>
      <c r="F20" s="139"/>
      <c r="M20" s="2" t="s">
        <v>66</v>
      </c>
    </row>
    <row r="21" spans="2:13" x14ac:dyDescent="0.25">
      <c r="B21" s="3"/>
      <c r="C21" s="125" t="s">
        <v>69</v>
      </c>
      <c r="D21" s="3"/>
      <c r="E21" s="3"/>
      <c r="F21" s="3"/>
    </row>
    <row r="22" spans="2:13" x14ac:dyDescent="0.25">
      <c r="B22" s="3"/>
      <c r="C22" s="66" t="s">
        <v>1</v>
      </c>
      <c r="D22" s="41">
        <f>'POH @ End Schedule E'!E21</f>
        <v>0</v>
      </c>
      <c r="E22" s="3"/>
      <c r="F22" s="3"/>
    </row>
    <row r="23" spans="2:13" x14ac:dyDescent="0.25">
      <c r="B23" s="3"/>
      <c r="C23" s="66" t="s">
        <v>2</v>
      </c>
      <c r="D23" s="121">
        <f>'POH @ End Schedule E'!E22</f>
        <v>0</v>
      </c>
      <c r="E23" s="3"/>
      <c r="F23" s="3"/>
    </row>
    <row r="24" spans="2:13" x14ac:dyDescent="0.25">
      <c r="B24" s="3"/>
      <c r="C24" s="3"/>
      <c r="D24" s="41">
        <f>D22+D23</f>
        <v>0</v>
      </c>
      <c r="E24" s="3"/>
      <c r="F24" s="3"/>
    </row>
    <row r="25" spans="2:13" x14ac:dyDescent="0.25">
      <c r="B25" s="3"/>
      <c r="C25" s="3"/>
      <c r="D25" s="66"/>
      <c r="E25" s="41"/>
      <c r="F25" s="3"/>
    </row>
    <row r="26" spans="2:13" x14ac:dyDescent="0.25">
      <c r="B26" s="3"/>
      <c r="C26" s="3" t="s">
        <v>70</v>
      </c>
      <c r="D26" s="41">
        <f ca="1">'Schedule C'!F98</f>
        <v>0</v>
      </c>
      <c r="E26" s="41"/>
      <c r="F26" s="3"/>
    </row>
    <row r="27" spans="2:13" ht="16.5" thickBot="1" x14ac:dyDescent="0.3">
      <c r="B27" s="3"/>
      <c r="C27" s="3"/>
      <c r="D27" s="3"/>
      <c r="E27" s="41"/>
      <c r="F27" s="3"/>
    </row>
    <row r="28" spans="2:13" ht="16.5" thickBot="1" x14ac:dyDescent="0.3">
      <c r="B28" s="3"/>
      <c r="C28" s="119" t="s">
        <v>64</v>
      </c>
      <c r="D28" s="118">
        <f ca="1">SUM(D24:D27)</f>
        <v>0</v>
      </c>
      <c r="F28" s="3"/>
    </row>
    <row r="29" spans="2:13" x14ac:dyDescent="0.25">
      <c r="B29" s="3"/>
      <c r="C29" s="3"/>
      <c r="D29" s="3"/>
      <c r="E29" s="3"/>
      <c r="F29" s="3"/>
    </row>
  </sheetData>
  <mergeCells count="8">
    <mergeCell ref="A2:D2"/>
    <mergeCell ref="A1:D1"/>
    <mergeCell ref="B20:F20"/>
    <mergeCell ref="B4:F4"/>
    <mergeCell ref="B5:F5"/>
    <mergeCell ref="B6:F6"/>
    <mergeCell ref="B7:F7"/>
    <mergeCell ref="B9:F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EC90C-2C4E-4F23-B967-BACA1A4D9093}">
  <dimension ref="B1:U18"/>
  <sheetViews>
    <sheetView workbookViewId="0">
      <selection activeCell="K20" sqref="K20"/>
    </sheetView>
  </sheetViews>
  <sheetFormatPr defaultRowHeight="15" x14ac:dyDescent="0.25"/>
  <cols>
    <col min="1" max="1" width="3" customWidth="1"/>
    <col min="3" max="3" width="9.140625" style="7"/>
    <col min="4" max="4" width="6.85546875" bestFit="1" customWidth="1"/>
    <col min="5" max="5" width="13.140625" bestFit="1" customWidth="1"/>
    <col min="6" max="6" width="21.5703125" customWidth="1"/>
    <col min="7" max="7" width="21.140625" customWidth="1"/>
    <col min="8" max="8" width="3.28515625" customWidth="1"/>
    <col min="15" max="15" width="2" customWidth="1"/>
  </cols>
  <sheetData>
    <row r="1" spans="2:21" ht="15.75" thickBot="1" x14ac:dyDescent="0.3"/>
    <row r="2" spans="2:21" x14ac:dyDescent="0.25">
      <c r="B2" s="143" t="s">
        <v>79</v>
      </c>
      <c r="C2" s="144"/>
      <c r="D2" s="144"/>
      <c r="E2" s="144"/>
      <c r="F2" s="144"/>
      <c r="G2" s="145"/>
      <c r="I2" s="143" t="s">
        <v>79</v>
      </c>
      <c r="J2" s="144"/>
      <c r="K2" s="144"/>
      <c r="L2" s="144"/>
      <c r="M2" s="144"/>
      <c r="N2" s="145"/>
      <c r="P2" s="143" t="s">
        <v>79</v>
      </c>
      <c r="Q2" s="144"/>
      <c r="R2" s="144"/>
      <c r="S2" s="144"/>
      <c r="T2" s="144"/>
      <c r="U2" s="145"/>
    </row>
    <row r="3" spans="2:21" x14ac:dyDescent="0.25">
      <c r="B3" s="140" t="s">
        <v>6</v>
      </c>
      <c r="C3" s="141"/>
      <c r="D3" s="141"/>
      <c r="E3" s="141"/>
      <c r="F3" s="141"/>
      <c r="G3" s="142"/>
      <c r="I3" s="140" t="s">
        <v>6</v>
      </c>
      <c r="J3" s="141"/>
      <c r="K3" s="141"/>
      <c r="L3" s="141"/>
      <c r="M3" s="141"/>
      <c r="N3" s="142"/>
      <c r="P3" s="140" t="s">
        <v>6</v>
      </c>
      <c r="Q3" s="141"/>
      <c r="R3" s="141"/>
      <c r="S3" s="141"/>
      <c r="T3" s="141"/>
      <c r="U3" s="142"/>
    </row>
    <row r="4" spans="2:21" x14ac:dyDescent="0.25">
      <c r="B4" s="68" t="s">
        <v>80</v>
      </c>
      <c r="C4" s="5" t="s">
        <v>7</v>
      </c>
      <c r="D4" s="5" t="s">
        <v>8</v>
      </c>
      <c r="E4" s="5" t="s">
        <v>9</v>
      </c>
      <c r="F4" s="5" t="s">
        <v>10</v>
      </c>
      <c r="G4" s="69" t="s">
        <v>11</v>
      </c>
      <c r="I4" s="68" t="s">
        <v>80</v>
      </c>
      <c r="J4" s="5" t="s">
        <v>7</v>
      </c>
      <c r="K4" s="5" t="s">
        <v>8</v>
      </c>
      <c r="L4" s="5" t="s">
        <v>9</v>
      </c>
      <c r="M4" s="5" t="s">
        <v>10</v>
      </c>
      <c r="N4" s="69" t="s">
        <v>11</v>
      </c>
      <c r="P4" s="68" t="s">
        <v>80</v>
      </c>
      <c r="Q4" s="5" t="s">
        <v>7</v>
      </c>
      <c r="R4" s="5" t="s">
        <v>8</v>
      </c>
      <c r="S4" s="5" t="s">
        <v>9</v>
      </c>
      <c r="T4" s="5" t="s">
        <v>10</v>
      </c>
      <c r="U4" s="69" t="s">
        <v>11</v>
      </c>
    </row>
    <row r="5" spans="2:21" x14ac:dyDescent="0.25">
      <c r="B5" s="68">
        <v>9259</v>
      </c>
      <c r="C5" s="6">
        <v>45954</v>
      </c>
      <c r="D5" s="6"/>
      <c r="E5" s="5"/>
      <c r="F5" s="5"/>
      <c r="G5" s="69"/>
      <c r="I5" s="68">
        <v>9259</v>
      </c>
      <c r="J5" s="6">
        <v>45954</v>
      </c>
      <c r="K5" s="6"/>
      <c r="L5" s="5"/>
      <c r="M5" s="5"/>
      <c r="N5" s="69"/>
      <c r="P5" s="68">
        <v>9259</v>
      </c>
      <c r="Q5" s="6">
        <v>45954</v>
      </c>
      <c r="R5" s="6"/>
      <c r="S5" s="5"/>
      <c r="T5" s="5"/>
      <c r="U5" s="69"/>
    </row>
    <row r="6" spans="2:21" x14ac:dyDescent="0.25">
      <c r="B6" s="68"/>
      <c r="C6" s="6">
        <v>45985</v>
      </c>
      <c r="D6" s="6"/>
      <c r="E6" s="5"/>
      <c r="F6" s="5"/>
      <c r="G6" s="69"/>
      <c r="I6" s="68"/>
      <c r="J6" s="6">
        <v>45985</v>
      </c>
      <c r="K6" s="6"/>
      <c r="L6" s="5"/>
      <c r="M6" s="5"/>
      <c r="N6" s="69"/>
      <c r="P6" s="68"/>
      <c r="Q6" s="6">
        <v>45985</v>
      </c>
      <c r="R6" s="6"/>
      <c r="S6" s="5"/>
      <c r="T6" s="5"/>
      <c r="U6" s="69"/>
    </row>
    <row r="7" spans="2:21" x14ac:dyDescent="0.25">
      <c r="B7" s="68"/>
      <c r="C7" s="6">
        <v>46015</v>
      </c>
      <c r="D7" s="6"/>
      <c r="E7" s="5"/>
      <c r="F7" s="5"/>
      <c r="G7" s="69"/>
      <c r="I7" s="68"/>
      <c r="J7" s="6">
        <v>46015</v>
      </c>
      <c r="K7" s="6"/>
      <c r="L7" s="5"/>
      <c r="M7" s="5"/>
      <c r="N7" s="69"/>
      <c r="P7" s="68"/>
      <c r="Q7" s="6">
        <v>46015</v>
      </c>
      <c r="R7" s="6"/>
      <c r="S7" s="5"/>
      <c r="T7" s="5"/>
      <c r="U7" s="69"/>
    </row>
    <row r="8" spans="2:21" x14ac:dyDescent="0.25">
      <c r="B8" s="68"/>
      <c r="C8" s="6">
        <v>45682</v>
      </c>
      <c r="D8" s="6"/>
      <c r="E8" s="5"/>
      <c r="F8" s="5"/>
      <c r="G8" s="69"/>
      <c r="I8" s="68"/>
      <c r="J8" s="6">
        <v>45682</v>
      </c>
      <c r="K8" s="6"/>
      <c r="L8" s="5"/>
      <c r="M8" s="5"/>
      <c r="N8" s="69"/>
      <c r="P8" s="68"/>
      <c r="Q8" s="6">
        <v>45682</v>
      </c>
      <c r="R8" s="6"/>
      <c r="S8" s="5"/>
      <c r="T8" s="5"/>
      <c r="U8" s="69"/>
    </row>
    <row r="9" spans="2:21" x14ac:dyDescent="0.25">
      <c r="B9" s="68"/>
      <c r="C9" s="6">
        <v>45713</v>
      </c>
      <c r="D9" s="6"/>
      <c r="E9" s="5"/>
      <c r="F9" s="5"/>
      <c r="G9" s="69"/>
      <c r="I9" s="68"/>
      <c r="J9" s="6">
        <v>45713</v>
      </c>
      <c r="K9" s="6"/>
      <c r="L9" s="5"/>
      <c r="M9" s="5"/>
      <c r="N9" s="69"/>
      <c r="P9" s="68"/>
      <c r="Q9" s="6">
        <v>45713</v>
      </c>
      <c r="R9" s="6"/>
      <c r="S9" s="5"/>
      <c r="T9" s="5"/>
      <c r="U9" s="69"/>
    </row>
    <row r="10" spans="2:21" x14ac:dyDescent="0.25">
      <c r="B10" s="68"/>
      <c r="C10" s="6">
        <v>45741</v>
      </c>
      <c r="D10" s="6"/>
      <c r="E10" s="5"/>
      <c r="F10" s="5"/>
      <c r="G10" s="69"/>
      <c r="I10" s="68"/>
      <c r="J10" s="6">
        <v>45741</v>
      </c>
      <c r="K10" s="6"/>
      <c r="L10" s="5"/>
      <c r="M10" s="5"/>
      <c r="N10" s="69"/>
      <c r="P10" s="68"/>
      <c r="Q10" s="6">
        <v>45741</v>
      </c>
      <c r="R10" s="6"/>
      <c r="S10" s="5"/>
      <c r="T10" s="5"/>
      <c r="U10" s="69"/>
    </row>
    <row r="11" spans="2:21" x14ac:dyDescent="0.25">
      <c r="B11" s="68"/>
      <c r="C11" s="6">
        <v>45772</v>
      </c>
      <c r="D11" s="6"/>
      <c r="E11" s="5"/>
      <c r="F11" s="5"/>
      <c r="G11" s="69"/>
      <c r="I11" s="68"/>
      <c r="J11" s="6">
        <v>45772</v>
      </c>
      <c r="K11" s="6"/>
      <c r="L11" s="5"/>
      <c r="M11" s="5"/>
      <c r="N11" s="69"/>
      <c r="P11" s="68"/>
      <c r="Q11" s="6">
        <v>45772</v>
      </c>
      <c r="R11" s="6"/>
      <c r="S11" s="5"/>
      <c r="T11" s="5"/>
      <c r="U11" s="69"/>
    </row>
    <row r="12" spans="2:21" x14ac:dyDescent="0.25">
      <c r="B12" s="68"/>
      <c r="C12" s="6">
        <v>45802</v>
      </c>
      <c r="D12" s="6"/>
      <c r="E12" s="5"/>
      <c r="F12" s="5"/>
      <c r="G12" s="69"/>
      <c r="I12" s="68"/>
      <c r="J12" s="6">
        <v>45802</v>
      </c>
      <c r="K12" s="6"/>
      <c r="L12" s="5"/>
      <c r="M12" s="5"/>
      <c r="N12" s="69"/>
      <c r="P12" s="68"/>
      <c r="Q12" s="6">
        <v>45802</v>
      </c>
      <c r="R12" s="6"/>
      <c r="S12" s="5"/>
      <c r="T12" s="5"/>
      <c r="U12" s="69"/>
    </row>
    <row r="13" spans="2:21" x14ac:dyDescent="0.25">
      <c r="B13" s="68"/>
      <c r="C13" s="6">
        <v>45833</v>
      </c>
      <c r="D13" s="6"/>
      <c r="E13" s="5"/>
      <c r="F13" s="5"/>
      <c r="G13" s="69"/>
      <c r="I13" s="68"/>
      <c r="J13" s="6">
        <v>45833</v>
      </c>
      <c r="K13" s="6"/>
      <c r="L13" s="5"/>
      <c r="M13" s="5"/>
      <c r="N13" s="69"/>
      <c r="P13" s="68"/>
      <c r="Q13" s="6">
        <v>45833</v>
      </c>
      <c r="R13" s="6"/>
      <c r="S13" s="5"/>
      <c r="T13" s="5"/>
      <c r="U13" s="69"/>
    </row>
    <row r="14" spans="2:21" x14ac:dyDescent="0.25">
      <c r="B14" s="68"/>
      <c r="C14" s="6">
        <v>45863</v>
      </c>
      <c r="D14" s="6"/>
      <c r="E14" s="5"/>
      <c r="F14" s="5"/>
      <c r="G14" s="69"/>
      <c r="I14" s="68"/>
      <c r="J14" s="6">
        <v>45863</v>
      </c>
      <c r="K14" s="6"/>
      <c r="L14" s="5"/>
      <c r="M14" s="5"/>
      <c r="N14" s="69"/>
      <c r="P14" s="68"/>
      <c r="Q14" s="6">
        <v>45863</v>
      </c>
      <c r="R14" s="6"/>
      <c r="S14" s="5"/>
      <c r="T14" s="5"/>
      <c r="U14" s="69"/>
    </row>
    <row r="15" spans="2:21" x14ac:dyDescent="0.25">
      <c r="B15" s="68"/>
      <c r="C15" s="6">
        <v>45894</v>
      </c>
      <c r="D15" s="6"/>
      <c r="E15" s="5"/>
      <c r="F15" s="5"/>
      <c r="G15" s="69"/>
      <c r="I15" s="68"/>
      <c r="J15" s="6">
        <v>45894</v>
      </c>
      <c r="K15" s="6"/>
      <c r="L15" s="5"/>
      <c r="M15" s="5"/>
      <c r="N15" s="69"/>
      <c r="P15" s="68"/>
      <c r="Q15" s="6">
        <v>45894</v>
      </c>
      <c r="R15" s="6"/>
      <c r="S15" s="5"/>
      <c r="T15" s="5"/>
      <c r="U15" s="69"/>
    </row>
    <row r="16" spans="2:21" x14ac:dyDescent="0.25">
      <c r="B16" s="68"/>
      <c r="C16" s="6">
        <v>45925</v>
      </c>
      <c r="D16" s="6"/>
      <c r="E16" s="5"/>
      <c r="F16" s="5"/>
      <c r="G16" s="69"/>
      <c r="I16" s="68"/>
      <c r="J16" s="6">
        <v>45925</v>
      </c>
      <c r="K16" s="6"/>
      <c r="L16" s="5"/>
      <c r="M16" s="5"/>
      <c r="N16" s="69"/>
      <c r="P16" s="68"/>
      <c r="Q16" s="6">
        <v>45925</v>
      </c>
      <c r="R16" s="6"/>
      <c r="S16" s="5"/>
      <c r="T16" s="5"/>
      <c r="U16" s="69"/>
    </row>
    <row r="17" spans="2:21" x14ac:dyDescent="0.25">
      <c r="B17" s="68"/>
      <c r="C17" s="6">
        <v>45955</v>
      </c>
      <c r="D17" s="6"/>
      <c r="E17" s="5"/>
      <c r="F17" s="5"/>
      <c r="G17" s="69"/>
      <c r="I17" s="68"/>
      <c r="J17" s="6">
        <v>45955</v>
      </c>
      <c r="K17" s="6"/>
      <c r="L17" s="5"/>
      <c r="M17" s="5"/>
      <c r="N17" s="69"/>
      <c r="P17" s="68"/>
      <c r="Q17" s="6">
        <v>45955</v>
      </c>
      <c r="R17" s="6"/>
      <c r="S17" s="5"/>
      <c r="T17" s="5"/>
      <c r="U17" s="69"/>
    </row>
    <row r="18" spans="2:21" ht="15.75" thickBot="1" x14ac:dyDescent="0.3">
      <c r="B18" s="70"/>
      <c r="C18" s="71">
        <v>45986</v>
      </c>
      <c r="D18" s="71"/>
      <c r="E18" s="72"/>
      <c r="F18" s="72"/>
      <c r="G18" s="73"/>
      <c r="I18" s="70"/>
      <c r="J18" s="71">
        <v>45986</v>
      </c>
      <c r="K18" s="71"/>
      <c r="L18" s="72"/>
      <c r="M18" s="72"/>
      <c r="N18" s="73"/>
      <c r="P18" s="70"/>
      <c r="Q18" s="71">
        <v>45986</v>
      </c>
      <c r="R18" s="71"/>
      <c r="S18" s="72"/>
      <c r="T18" s="72"/>
      <c r="U18" s="73"/>
    </row>
  </sheetData>
  <mergeCells count="6">
    <mergeCell ref="I3:N3"/>
    <mergeCell ref="I2:N2"/>
    <mergeCell ref="P2:U2"/>
    <mergeCell ref="P3:U3"/>
    <mergeCell ref="B2:G2"/>
    <mergeCell ref="B3:G3"/>
  </mergeCells>
  <conditionalFormatting sqref="D5:D18">
    <cfRule type="cellIs" dxfId="11" priority="23" operator="equal">
      <formula>"n"</formula>
    </cfRule>
    <cfRule type="cellIs" dxfId="10" priority="24" operator="equal">
      <formula>"y"</formula>
    </cfRule>
  </conditionalFormatting>
  <conditionalFormatting sqref="E5:G18">
    <cfRule type="cellIs" dxfId="9" priority="21" operator="equal">
      <formula>0</formula>
    </cfRule>
    <cfRule type="cellIs" dxfId="8" priority="22" operator="equal">
      <formula>1</formula>
    </cfRule>
  </conditionalFormatting>
  <conditionalFormatting sqref="K5:K18">
    <cfRule type="cellIs" dxfId="7" priority="7" operator="equal">
      <formula>"n"</formula>
    </cfRule>
    <cfRule type="cellIs" dxfId="6" priority="8" operator="equal">
      <formula>"y"</formula>
    </cfRule>
  </conditionalFormatting>
  <conditionalFormatting sqref="L5:N18">
    <cfRule type="cellIs" dxfId="5" priority="5" operator="equal">
      <formula>0</formula>
    </cfRule>
    <cfRule type="cellIs" dxfId="4" priority="6" operator="equal">
      <formula>1</formula>
    </cfRule>
  </conditionalFormatting>
  <conditionalFormatting sqref="R5:R18">
    <cfRule type="cellIs" dxfId="3" priority="3" operator="equal">
      <formula>"n"</formula>
    </cfRule>
    <cfRule type="cellIs" dxfId="2" priority="4" operator="equal">
      <formula>"y"</formula>
    </cfRule>
  </conditionalFormatting>
  <conditionalFormatting sqref="S5:U18">
    <cfRule type="cellIs" dxfId="1" priority="1" operator="equal">
      <formula>0</formula>
    </cfRule>
    <cfRule type="cellIs" dxfId="0" priority="2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D8EA-E8B4-4AB9-881B-5D921936402E}">
  <dimension ref="B1:I32"/>
  <sheetViews>
    <sheetView workbookViewId="0">
      <selection activeCell="C38" sqref="C38"/>
    </sheetView>
  </sheetViews>
  <sheetFormatPr defaultColWidth="9.140625" defaultRowHeight="15" x14ac:dyDescent="0.25"/>
  <cols>
    <col min="1" max="1" width="3.140625" style="11" customWidth="1"/>
    <col min="2" max="2" width="17.85546875" style="28" customWidth="1"/>
    <col min="3" max="3" width="56.28515625" style="11" customWidth="1"/>
    <col min="4" max="4" width="12.85546875" style="74" bestFit="1" customWidth="1"/>
    <col min="5" max="5" width="35.42578125" style="11" bestFit="1" customWidth="1"/>
    <col min="6" max="6" width="24.85546875" style="11" bestFit="1" customWidth="1"/>
    <col min="7" max="7" width="13.5703125" style="29" customWidth="1"/>
    <col min="8" max="8" width="14.42578125" style="29" bestFit="1" customWidth="1"/>
    <col min="9" max="9" width="56" style="11" customWidth="1"/>
    <col min="10" max="16384" width="9.140625" style="11"/>
  </cols>
  <sheetData>
    <row r="1" spans="2:9" ht="15.75" thickBot="1" x14ac:dyDescent="0.3"/>
    <row r="2" spans="2:9" ht="15.75" thickBot="1" x14ac:dyDescent="0.3">
      <c r="B2" s="146" t="s">
        <v>79</v>
      </c>
      <c r="C2" s="147"/>
      <c r="D2" s="147"/>
      <c r="E2" s="147"/>
      <c r="F2" s="147"/>
      <c r="G2" s="147"/>
      <c r="H2" s="147"/>
      <c r="I2" s="148"/>
    </row>
    <row r="3" spans="2:9" ht="15.75" thickBot="1" x14ac:dyDescent="0.3">
      <c r="B3" s="67" t="s">
        <v>7</v>
      </c>
      <c r="C3" s="8" t="s">
        <v>12</v>
      </c>
      <c r="D3" s="75" t="s">
        <v>13</v>
      </c>
      <c r="E3" s="9" t="s">
        <v>14</v>
      </c>
      <c r="F3" s="9" t="s">
        <v>15</v>
      </c>
      <c r="G3" s="10" t="s">
        <v>16</v>
      </c>
      <c r="H3" s="10" t="s">
        <v>17</v>
      </c>
      <c r="I3" s="9" t="s">
        <v>18</v>
      </c>
    </row>
    <row r="4" spans="2:9" x14ac:dyDescent="0.25">
      <c r="B4" s="12"/>
      <c r="C4" s="13"/>
      <c r="D4" s="76"/>
      <c r="E4" s="13"/>
      <c r="F4" s="13"/>
      <c r="G4" s="15"/>
      <c r="H4" s="15"/>
      <c r="I4" s="16"/>
    </row>
    <row r="5" spans="2:9" x14ac:dyDescent="0.25">
      <c r="B5" s="17"/>
      <c r="C5" s="14"/>
      <c r="D5" s="76"/>
      <c r="E5" s="14"/>
      <c r="F5" s="14"/>
      <c r="G5" s="18"/>
      <c r="H5" s="18"/>
      <c r="I5" s="19"/>
    </row>
    <row r="6" spans="2:9" x14ac:dyDescent="0.25">
      <c r="B6" s="17"/>
      <c r="C6" s="14"/>
      <c r="D6" s="76"/>
      <c r="E6" s="14"/>
      <c r="F6" s="14"/>
      <c r="G6" s="18"/>
      <c r="H6" s="18"/>
      <c r="I6" s="19"/>
    </row>
    <row r="7" spans="2:9" x14ac:dyDescent="0.25">
      <c r="B7" s="17"/>
      <c r="C7" s="14"/>
      <c r="D7" s="76"/>
      <c r="E7" s="14"/>
      <c r="F7" s="14"/>
      <c r="G7" s="18"/>
      <c r="H7" s="18"/>
      <c r="I7" s="19"/>
    </row>
    <row r="8" spans="2:9" x14ac:dyDescent="0.25">
      <c r="B8" s="17"/>
      <c r="C8" s="14"/>
      <c r="D8" s="76"/>
      <c r="E8" s="14"/>
      <c r="F8" s="14"/>
      <c r="G8" s="18"/>
      <c r="H8" s="18"/>
      <c r="I8" s="19"/>
    </row>
    <row r="9" spans="2:9" x14ac:dyDescent="0.25">
      <c r="B9" s="17"/>
      <c r="C9" s="14"/>
      <c r="D9" s="76"/>
      <c r="E9" s="14"/>
      <c r="F9" s="14"/>
      <c r="G9" s="18"/>
      <c r="H9" s="18"/>
      <c r="I9" s="19"/>
    </row>
    <row r="10" spans="2:9" x14ac:dyDescent="0.25">
      <c r="B10" s="17"/>
      <c r="C10" s="14"/>
      <c r="D10" s="76"/>
      <c r="E10" s="14"/>
      <c r="F10" s="14"/>
      <c r="G10" s="18"/>
      <c r="H10" s="18"/>
      <c r="I10" s="19"/>
    </row>
    <row r="11" spans="2:9" ht="8.25" customHeight="1" x14ac:dyDescent="0.25">
      <c r="B11" s="20"/>
      <c r="C11" s="21"/>
      <c r="D11" s="77"/>
      <c r="E11" s="21"/>
      <c r="F11" s="21"/>
      <c r="G11" s="22"/>
      <c r="H11" s="22"/>
      <c r="I11" s="23"/>
    </row>
    <row r="12" spans="2:9" x14ac:dyDescent="0.25">
      <c r="B12" s="17"/>
      <c r="C12" s="14" t="s">
        <v>19</v>
      </c>
      <c r="D12" s="76"/>
      <c r="E12" s="14"/>
      <c r="F12" s="14"/>
      <c r="G12" s="18">
        <f>SUM(G4:G10)</f>
        <v>0</v>
      </c>
      <c r="H12" s="18">
        <f>SUM(H4:H10)</f>
        <v>0</v>
      </c>
      <c r="I12" s="19"/>
    </row>
    <row r="13" spans="2:9" x14ac:dyDescent="0.25">
      <c r="B13" s="17"/>
      <c r="C13" s="14"/>
      <c r="D13" s="76"/>
      <c r="E13" s="14"/>
      <c r="F13" s="14"/>
      <c r="G13" s="18"/>
      <c r="H13" s="18"/>
      <c r="I13" s="19"/>
    </row>
    <row r="14" spans="2:9" x14ac:dyDescent="0.25">
      <c r="B14" s="17"/>
      <c r="C14" s="14"/>
      <c r="D14" s="76"/>
      <c r="E14" s="14"/>
      <c r="F14" s="14"/>
      <c r="G14" s="18"/>
      <c r="H14" s="18"/>
      <c r="I14" s="19"/>
    </row>
    <row r="15" spans="2:9" x14ac:dyDescent="0.25">
      <c r="B15" s="17"/>
      <c r="C15" s="14"/>
      <c r="D15" s="76"/>
      <c r="E15" s="14"/>
      <c r="F15" s="14"/>
      <c r="G15" s="18"/>
      <c r="H15" s="18"/>
      <c r="I15" s="19"/>
    </row>
    <row r="16" spans="2:9" x14ac:dyDescent="0.25">
      <c r="B16" s="24"/>
      <c r="C16" s="25" t="s">
        <v>20</v>
      </c>
      <c r="D16" s="78">
        <v>0</v>
      </c>
      <c r="E16" s="26" t="s">
        <v>21</v>
      </c>
      <c r="F16" s="26">
        <f>(H12-G12)</f>
        <v>0</v>
      </c>
      <c r="G16" s="26"/>
      <c r="H16" s="26" t="s">
        <v>22</v>
      </c>
      <c r="I16" s="27"/>
    </row>
    <row r="17" spans="2:9" ht="15.75" thickBot="1" x14ac:dyDescent="0.3">
      <c r="E17" s="29"/>
      <c r="F17" s="29"/>
    </row>
    <row r="18" spans="2:9" ht="15.75" thickBot="1" x14ac:dyDescent="0.3">
      <c r="B18" s="146" t="s">
        <v>79</v>
      </c>
      <c r="C18" s="147"/>
      <c r="D18" s="147"/>
      <c r="E18" s="147"/>
      <c r="F18" s="147"/>
      <c r="G18" s="147"/>
      <c r="H18" s="147"/>
      <c r="I18" s="148"/>
    </row>
    <row r="19" spans="2:9" ht="15.75" thickBot="1" x14ac:dyDescent="0.3">
      <c r="B19" s="67" t="s">
        <v>7</v>
      </c>
      <c r="C19" s="8" t="s">
        <v>12</v>
      </c>
      <c r="D19" s="75" t="s">
        <v>13</v>
      </c>
      <c r="E19" s="9" t="s">
        <v>14</v>
      </c>
      <c r="F19" s="9" t="s">
        <v>15</v>
      </c>
      <c r="G19" s="10" t="s">
        <v>16</v>
      </c>
      <c r="H19" s="10" t="s">
        <v>17</v>
      </c>
      <c r="I19" s="9" t="s">
        <v>18</v>
      </c>
    </row>
    <row r="20" spans="2:9" x14ac:dyDescent="0.25">
      <c r="B20" s="12"/>
      <c r="C20" s="13"/>
      <c r="D20" s="76"/>
      <c r="E20" s="13"/>
      <c r="F20" s="13"/>
      <c r="G20" s="15"/>
      <c r="H20" s="15"/>
      <c r="I20" s="16"/>
    </row>
    <row r="21" spans="2:9" x14ac:dyDescent="0.25">
      <c r="B21" s="17"/>
      <c r="C21" s="14"/>
      <c r="D21" s="76"/>
      <c r="E21" s="14"/>
      <c r="F21" s="14"/>
      <c r="G21" s="18"/>
      <c r="H21" s="18"/>
      <c r="I21" s="19"/>
    </row>
    <row r="22" spans="2:9" x14ac:dyDescent="0.25">
      <c r="B22" s="17"/>
      <c r="C22" s="14"/>
      <c r="D22" s="76"/>
      <c r="E22" s="14"/>
      <c r="F22" s="14"/>
      <c r="G22" s="18"/>
      <c r="H22" s="18"/>
      <c r="I22" s="19"/>
    </row>
    <row r="23" spans="2:9" x14ac:dyDescent="0.25">
      <c r="B23" s="17"/>
      <c r="C23" s="14"/>
      <c r="D23" s="76"/>
      <c r="E23" s="14"/>
      <c r="F23" s="14"/>
      <c r="G23" s="18"/>
      <c r="H23" s="18"/>
      <c r="I23" s="19"/>
    </row>
    <row r="24" spans="2:9" x14ac:dyDescent="0.25">
      <c r="B24" s="17"/>
      <c r="C24" s="14"/>
      <c r="D24" s="76"/>
      <c r="E24" s="14"/>
      <c r="F24" s="14"/>
      <c r="G24" s="18"/>
      <c r="H24" s="18"/>
      <c r="I24" s="19"/>
    </row>
    <row r="25" spans="2:9" x14ac:dyDescent="0.25">
      <c r="B25" s="17"/>
      <c r="C25" s="14"/>
      <c r="D25" s="76"/>
      <c r="E25" s="14"/>
      <c r="F25" s="14"/>
      <c r="G25" s="18"/>
      <c r="H25" s="18"/>
      <c r="I25" s="19"/>
    </row>
    <row r="26" spans="2:9" x14ac:dyDescent="0.25">
      <c r="B26" s="17"/>
      <c r="C26" s="14"/>
      <c r="D26" s="76"/>
      <c r="E26" s="14"/>
      <c r="F26" s="14"/>
      <c r="G26" s="18"/>
      <c r="H26" s="18"/>
      <c r="I26" s="19"/>
    </row>
    <row r="27" spans="2:9" x14ac:dyDescent="0.25">
      <c r="B27" s="20"/>
      <c r="C27" s="21"/>
      <c r="D27" s="77"/>
      <c r="E27" s="21"/>
      <c r="F27" s="21"/>
      <c r="G27" s="22"/>
      <c r="H27" s="22"/>
      <c r="I27" s="23"/>
    </row>
    <row r="28" spans="2:9" x14ac:dyDescent="0.25">
      <c r="B28" s="17"/>
      <c r="C28" s="14" t="s">
        <v>19</v>
      </c>
      <c r="D28" s="76"/>
      <c r="E28" s="14"/>
      <c r="F28" s="14"/>
      <c r="G28" s="18">
        <f>SUM(G20:G26)</f>
        <v>0</v>
      </c>
      <c r="H28" s="18">
        <f>SUM(H20:H26)</f>
        <v>0</v>
      </c>
      <c r="I28" s="19"/>
    </row>
    <row r="29" spans="2:9" x14ac:dyDescent="0.25">
      <c r="B29" s="17"/>
      <c r="C29" s="14"/>
      <c r="D29" s="76"/>
      <c r="E29" s="14"/>
      <c r="F29" s="14"/>
      <c r="G29" s="18"/>
      <c r="H29" s="18"/>
      <c r="I29" s="19"/>
    </row>
    <row r="30" spans="2:9" x14ac:dyDescent="0.25">
      <c r="B30" s="17"/>
      <c r="C30" s="14"/>
      <c r="D30" s="76"/>
      <c r="E30" s="14"/>
      <c r="F30" s="14"/>
      <c r="G30" s="18"/>
      <c r="H30" s="18"/>
      <c r="I30" s="19"/>
    </row>
    <row r="31" spans="2:9" x14ac:dyDescent="0.25">
      <c r="B31" s="17"/>
      <c r="C31" s="14"/>
      <c r="D31" s="76"/>
      <c r="E31" s="14"/>
      <c r="F31" s="14"/>
      <c r="G31" s="18"/>
      <c r="H31" s="18"/>
      <c r="I31" s="19"/>
    </row>
    <row r="32" spans="2:9" x14ac:dyDescent="0.25">
      <c r="B32" s="24"/>
      <c r="C32" s="25" t="s">
        <v>20</v>
      </c>
      <c r="D32" s="78">
        <v>0</v>
      </c>
      <c r="E32" s="26" t="s">
        <v>21</v>
      </c>
      <c r="F32" s="26">
        <f>(H28-G28)</f>
        <v>0</v>
      </c>
      <c r="G32" s="26"/>
      <c r="H32" s="26" t="s">
        <v>22</v>
      </c>
      <c r="I32" s="27"/>
    </row>
  </sheetData>
  <mergeCells count="2">
    <mergeCell ref="B2:I2"/>
    <mergeCell ref="B18:I18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FB7AB-2F89-4009-8AD2-658768CC3A5A}">
  <dimension ref="A2:E24"/>
  <sheetViews>
    <sheetView zoomScaleNormal="100" workbookViewId="0">
      <selection activeCell="B16" sqref="B16:C16"/>
    </sheetView>
  </sheetViews>
  <sheetFormatPr defaultColWidth="9.140625" defaultRowHeight="15.75" x14ac:dyDescent="0.25"/>
  <cols>
    <col min="1" max="1" width="2.140625" style="2" customWidth="1"/>
    <col min="2" max="2" width="3.5703125" style="2" customWidth="1"/>
    <col min="3" max="3" width="46.28515625" style="31" customWidth="1"/>
    <col min="4" max="4" width="19" style="2" bestFit="1" customWidth="1"/>
    <col min="5" max="5" width="19" style="2" customWidth="1"/>
    <col min="6" max="16384" width="9.140625" style="2"/>
  </cols>
  <sheetData>
    <row r="2" spans="1:5" ht="18.75" x14ac:dyDescent="0.25">
      <c r="A2" s="133" t="s">
        <v>81</v>
      </c>
      <c r="B2" s="133"/>
      <c r="C2" s="133"/>
      <c r="D2" s="133"/>
      <c r="E2" s="133"/>
    </row>
    <row r="3" spans="1:5" ht="18.75" x14ac:dyDescent="0.25">
      <c r="A3" s="133" t="s">
        <v>71</v>
      </c>
      <c r="B3" s="133"/>
      <c r="C3" s="133"/>
      <c r="D3" s="133"/>
      <c r="E3" s="133"/>
    </row>
    <row r="4" spans="1:5" ht="18.75" x14ac:dyDescent="0.25">
      <c r="A4" s="133" t="s">
        <v>72</v>
      </c>
      <c r="B4" s="133"/>
      <c r="C4" s="133"/>
      <c r="D4" s="133"/>
      <c r="E4" s="133"/>
    </row>
    <row r="5" spans="1:5" x14ac:dyDescent="0.25">
      <c r="A5" s="134" t="s">
        <v>82</v>
      </c>
      <c r="B5" s="134"/>
      <c r="C5" s="134"/>
      <c r="D5" s="134"/>
      <c r="E5" s="134"/>
    </row>
    <row r="7" spans="1:5" x14ac:dyDescent="0.25">
      <c r="B7" s="149" t="s">
        <v>23</v>
      </c>
      <c r="C7" s="149"/>
      <c r="D7" s="149"/>
      <c r="E7" s="149"/>
    </row>
    <row r="8" spans="1:5" x14ac:dyDescent="0.25">
      <c r="B8" s="150" t="s">
        <v>24</v>
      </c>
      <c r="C8" s="150"/>
      <c r="D8" s="32" t="s">
        <v>25</v>
      </c>
      <c r="E8" s="32" t="s">
        <v>26</v>
      </c>
    </row>
    <row r="9" spans="1:5" ht="14.25" customHeight="1" x14ac:dyDescent="0.25">
      <c r="B9" s="159" t="s">
        <v>83</v>
      </c>
      <c r="C9" s="159"/>
      <c r="D9" s="89"/>
      <c r="E9" s="89"/>
    </row>
    <row r="10" spans="1:5" x14ac:dyDescent="0.25">
      <c r="B10" s="160"/>
      <c r="C10" s="160"/>
      <c r="D10" s="94"/>
      <c r="E10" s="94"/>
    </row>
    <row r="11" spans="1:5" ht="16.5" thickBot="1" x14ac:dyDescent="0.3">
      <c r="B11" s="160"/>
      <c r="C11" s="160"/>
      <c r="D11" s="33"/>
      <c r="E11" s="33"/>
    </row>
    <row r="12" spans="1:5" ht="16.5" thickBot="1" x14ac:dyDescent="0.3">
      <c r="B12" s="161" t="s">
        <v>27</v>
      </c>
      <c r="C12" s="162"/>
      <c r="D12" s="36">
        <f>SUM(D9:D10)</f>
        <v>0</v>
      </c>
      <c r="E12" s="37">
        <f>SUM(E9:E10)</f>
        <v>0</v>
      </c>
    </row>
    <row r="13" spans="1:5" ht="12" customHeight="1" x14ac:dyDescent="0.25">
      <c r="B13" s="122"/>
      <c r="C13" s="122"/>
      <c r="D13" s="123"/>
      <c r="E13" s="123"/>
    </row>
    <row r="14" spans="1:5" x14ac:dyDescent="0.25">
      <c r="B14" s="149" t="s">
        <v>2</v>
      </c>
      <c r="C14" s="149"/>
      <c r="D14" s="149"/>
      <c r="E14" s="149"/>
    </row>
    <row r="15" spans="1:5" x14ac:dyDescent="0.25">
      <c r="B15" s="150" t="s">
        <v>24</v>
      </c>
      <c r="C15" s="150"/>
      <c r="D15" s="32" t="s">
        <v>25</v>
      </c>
      <c r="E15" s="32" t="s">
        <v>26</v>
      </c>
    </row>
    <row r="16" spans="1:5" ht="17.25" customHeight="1" x14ac:dyDescent="0.25">
      <c r="B16" s="159" t="s">
        <v>83</v>
      </c>
      <c r="C16" s="159"/>
      <c r="D16" s="89"/>
      <c r="E16" s="89"/>
    </row>
    <row r="17" spans="2:5" ht="16.5" thickBot="1" x14ac:dyDescent="0.3">
      <c r="B17" s="115"/>
      <c r="C17" s="115"/>
      <c r="D17" s="115"/>
      <c r="E17" s="115"/>
    </row>
    <row r="18" spans="2:5" ht="16.5" thickBot="1" x14ac:dyDescent="0.3">
      <c r="B18" s="161" t="s">
        <v>29</v>
      </c>
      <c r="C18" s="162"/>
      <c r="D18" s="36">
        <f>SUM(D16:D16)</f>
        <v>0</v>
      </c>
      <c r="E18" s="37">
        <f>SUM(E16:E16)</f>
        <v>0</v>
      </c>
    </row>
    <row r="19" spans="2:5" ht="16.5" thickBot="1" x14ac:dyDescent="0.3">
      <c r="B19" s="107"/>
      <c r="C19" s="108"/>
    </row>
    <row r="20" spans="2:5" ht="16.5" thickBot="1" x14ac:dyDescent="0.3">
      <c r="B20" s="161" t="s">
        <v>28</v>
      </c>
      <c r="C20" s="162"/>
      <c r="D20" s="38">
        <f>SUM(D12)</f>
        <v>0</v>
      </c>
      <c r="E20" s="38">
        <f>SUM(E12)</f>
        <v>0</v>
      </c>
    </row>
    <row r="21" spans="2:5" ht="16.5" thickBot="1" x14ac:dyDescent="0.3">
      <c r="B21" s="161" t="s">
        <v>29</v>
      </c>
      <c r="C21" s="162"/>
      <c r="D21" s="38">
        <f>D18</f>
        <v>0</v>
      </c>
      <c r="E21" s="39">
        <f>E18</f>
        <v>0</v>
      </c>
    </row>
    <row r="22" spans="2:5" ht="16.5" thickBot="1" x14ac:dyDescent="0.3">
      <c r="B22" s="107"/>
      <c r="C22" s="108"/>
      <c r="D22" s="4"/>
      <c r="E22" s="4"/>
    </row>
    <row r="23" spans="2:5" ht="19.5" customHeight="1" x14ac:dyDescent="0.25">
      <c r="B23" s="151" t="s">
        <v>30</v>
      </c>
      <c r="C23" s="152"/>
      <c r="D23" s="155">
        <f>SUM(D20:D21)</f>
        <v>0</v>
      </c>
      <c r="E23" s="157">
        <f>SUM(E20:E21)</f>
        <v>0</v>
      </c>
    </row>
    <row r="24" spans="2:5" ht="16.5" customHeight="1" thickBot="1" x14ac:dyDescent="0.3">
      <c r="B24" s="153"/>
      <c r="C24" s="154"/>
      <c r="D24" s="156"/>
      <c r="E24" s="158"/>
    </row>
  </sheetData>
  <mergeCells count="19">
    <mergeCell ref="B8:C8"/>
    <mergeCell ref="B23:C24"/>
    <mergeCell ref="D23:D24"/>
    <mergeCell ref="E23:E24"/>
    <mergeCell ref="B9:C9"/>
    <mergeCell ref="B10:C10"/>
    <mergeCell ref="B11:C11"/>
    <mergeCell ref="B12:C12"/>
    <mergeCell ref="B20:C20"/>
    <mergeCell ref="B21:C21"/>
    <mergeCell ref="B14:E14"/>
    <mergeCell ref="B18:C18"/>
    <mergeCell ref="B16:C16"/>
    <mergeCell ref="B15:C15"/>
    <mergeCell ref="A2:E2"/>
    <mergeCell ref="A3:E3"/>
    <mergeCell ref="A4:E4"/>
    <mergeCell ref="A5:E5"/>
    <mergeCell ref="B7:E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66266-DFFA-4A23-8B8E-9F128C120634}">
  <dimension ref="A2:E25"/>
  <sheetViews>
    <sheetView zoomScaleNormal="100" workbookViewId="0">
      <selection activeCell="H18" sqref="H18"/>
    </sheetView>
  </sheetViews>
  <sheetFormatPr defaultColWidth="9.140625" defaultRowHeight="15.75" x14ac:dyDescent="0.25"/>
  <cols>
    <col min="1" max="1" width="1.7109375" style="2" customWidth="1"/>
    <col min="2" max="2" width="7.28515625" style="2" customWidth="1"/>
    <col min="3" max="3" width="41.7109375" style="31" customWidth="1"/>
    <col min="4" max="4" width="19.42578125" style="2" bestFit="1" customWidth="1"/>
    <col min="5" max="5" width="19.42578125" style="4" bestFit="1" customWidth="1"/>
    <col min="6" max="7" width="12.5703125" style="2" bestFit="1" customWidth="1"/>
    <col min="8" max="16384" width="9.140625" style="2"/>
  </cols>
  <sheetData>
    <row r="2" spans="1:5" ht="18.75" x14ac:dyDescent="0.25">
      <c r="A2" s="133" t="s">
        <v>81</v>
      </c>
      <c r="B2" s="133"/>
      <c r="C2" s="133"/>
      <c r="D2" s="133"/>
      <c r="E2" s="133"/>
    </row>
    <row r="3" spans="1:5" ht="18.75" x14ac:dyDescent="0.25">
      <c r="A3" s="133" t="s">
        <v>31</v>
      </c>
      <c r="B3" s="133"/>
      <c r="C3" s="133"/>
      <c r="D3" s="133"/>
      <c r="E3" s="133"/>
    </row>
    <row r="4" spans="1:5" ht="18.75" x14ac:dyDescent="0.25">
      <c r="A4" s="133" t="s">
        <v>32</v>
      </c>
      <c r="B4" s="133"/>
      <c r="C4" s="133"/>
      <c r="D4" s="133"/>
      <c r="E4" s="133"/>
    </row>
    <row r="5" spans="1:5" x14ac:dyDescent="0.25">
      <c r="A5" s="134" t="s">
        <v>82</v>
      </c>
      <c r="B5" s="134"/>
      <c r="C5" s="134"/>
      <c r="D5" s="134"/>
      <c r="E5" s="134"/>
    </row>
    <row r="6" spans="1:5" x14ac:dyDescent="0.25">
      <c r="A6" s="3"/>
      <c r="B6" s="3"/>
      <c r="C6" s="3"/>
      <c r="D6" s="3"/>
      <c r="E6" s="41"/>
    </row>
    <row r="7" spans="1:5" x14ac:dyDescent="0.25">
      <c r="B7" s="149" t="s">
        <v>23</v>
      </c>
      <c r="C7" s="149"/>
      <c r="D7" s="149"/>
      <c r="E7" s="149"/>
    </row>
    <row r="8" spans="1:5" ht="6.75" customHeight="1" x14ac:dyDescent="0.25">
      <c r="B8" s="30"/>
    </row>
    <row r="9" spans="1:5" x14ac:dyDescent="0.25">
      <c r="B9" s="170" t="s">
        <v>24</v>
      </c>
      <c r="C9" s="170"/>
      <c r="D9" s="32" t="s">
        <v>25</v>
      </c>
      <c r="E9" s="42" t="s">
        <v>26</v>
      </c>
    </row>
    <row r="10" spans="1:5" ht="15.75" customHeight="1" x14ac:dyDescent="0.25">
      <c r="B10" s="159" t="s">
        <v>83</v>
      </c>
      <c r="C10" s="159"/>
      <c r="D10" s="34"/>
      <c r="E10" s="34"/>
    </row>
    <row r="11" spans="1:5" ht="16.5" thickBot="1" x14ac:dyDescent="0.3">
      <c r="B11" s="163"/>
      <c r="C11" s="163"/>
      <c r="D11" s="44"/>
      <c r="E11" s="44"/>
    </row>
    <row r="12" spans="1:5" ht="16.5" thickBot="1" x14ac:dyDescent="0.3">
      <c r="B12" s="164" t="s">
        <v>27</v>
      </c>
      <c r="C12" s="165"/>
      <c r="D12" s="36">
        <f>SUM(D10:D11)</f>
        <v>0</v>
      </c>
      <c r="E12" s="37">
        <f>SUM(E10:E11)</f>
        <v>0</v>
      </c>
    </row>
    <row r="13" spans="1:5" x14ac:dyDescent="0.25">
      <c r="B13" s="124"/>
      <c r="C13" s="124"/>
      <c r="D13" s="123"/>
      <c r="E13" s="123"/>
    </row>
    <row r="14" spans="1:5" ht="15" customHeight="1" x14ac:dyDescent="0.25">
      <c r="B14" s="149" t="s">
        <v>2</v>
      </c>
      <c r="C14" s="149"/>
      <c r="D14" s="149"/>
      <c r="E14" s="149"/>
    </row>
    <row r="15" spans="1:5" ht="6" customHeight="1" x14ac:dyDescent="0.25">
      <c r="B15" s="115"/>
      <c r="C15" s="115"/>
      <c r="D15" s="115"/>
      <c r="E15" s="115"/>
    </row>
    <row r="16" spans="1:5" x14ac:dyDescent="0.25">
      <c r="B16" s="170" t="s">
        <v>24</v>
      </c>
      <c r="C16" s="170"/>
      <c r="D16" s="32" t="s">
        <v>25</v>
      </c>
      <c r="E16" s="42" t="s">
        <v>26</v>
      </c>
    </row>
    <row r="17" spans="2:5" ht="31.5" customHeight="1" x14ac:dyDescent="0.25">
      <c r="B17" s="159" t="s">
        <v>83</v>
      </c>
      <c r="C17" s="159"/>
      <c r="D17" s="34"/>
      <c r="E17" s="34"/>
    </row>
    <row r="18" spans="2:5" ht="16.5" thickBot="1" x14ac:dyDescent="0.3">
      <c r="B18" s="115"/>
      <c r="C18" s="115"/>
      <c r="D18" s="115"/>
      <c r="E18" s="115"/>
    </row>
    <row r="19" spans="2:5" ht="16.5" thickBot="1" x14ac:dyDescent="0.3">
      <c r="B19" s="161" t="s">
        <v>29</v>
      </c>
      <c r="C19" s="162"/>
      <c r="D19" s="36">
        <f>SUM(D17:D17)</f>
        <v>0</v>
      </c>
      <c r="E19" s="37">
        <f>SUM(E17:E17)</f>
        <v>0</v>
      </c>
    </row>
    <row r="20" spans="2:5" ht="16.5" thickBot="1" x14ac:dyDescent="0.3">
      <c r="B20" s="92"/>
      <c r="C20" s="93"/>
    </row>
    <row r="21" spans="2:5" ht="16.5" thickBot="1" x14ac:dyDescent="0.3">
      <c r="B21" s="164" t="s">
        <v>28</v>
      </c>
      <c r="C21" s="165"/>
      <c r="D21" s="39">
        <f>SUM(D12)</f>
        <v>0</v>
      </c>
      <c r="E21" s="39">
        <f>SUM(,E12)</f>
        <v>0</v>
      </c>
    </row>
    <row r="22" spans="2:5" ht="16.5" thickBot="1" x14ac:dyDescent="0.3">
      <c r="B22" s="164" t="s">
        <v>29</v>
      </c>
      <c r="C22" s="165"/>
      <c r="D22" s="38">
        <f>D19</f>
        <v>0</v>
      </c>
      <c r="E22" s="39">
        <f>E19</f>
        <v>0</v>
      </c>
    </row>
    <row r="23" spans="2:5" ht="16.5" thickBot="1" x14ac:dyDescent="0.3">
      <c r="B23" s="92"/>
      <c r="C23" s="93"/>
      <c r="D23" s="4"/>
    </row>
    <row r="24" spans="2:5" ht="16.5" customHeight="1" x14ac:dyDescent="0.25">
      <c r="B24" s="166" t="s">
        <v>84</v>
      </c>
      <c r="C24" s="167"/>
      <c r="D24" s="155">
        <f>SUM(D21:D22)</f>
        <v>0</v>
      </c>
      <c r="E24" s="157">
        <f>SUM(E21:E22)</f>
        <v>0</v>
      </c>
    </row>
    <row r="25" spans="2:5" ht="16.5" thickBot="1" x14ac:dyDescent="0.3">
      <c r="B25" s="168"/>
      <c r="C25" s="169"/>
      <c r="D25" s="156"/>
      <c r="E25" s="158"/>
    </row>
  </sheetData>
  <mergeCells count="18">
    <mergeCell ref="A2:E2"/>
    <mergeCell ref="A3:E3"/>
    <mergeCell ref="A4:E4"/>
    <mergeCell ref="B7:E7"/>
    <mergeCell ref="B9:C9"/>
    <mergeCell ref="B17:C17"/>
    <mergeCell ref="B19:C19"/>
    <mergeCell ref="A5:E5"/>
    <mergeCell ref="D24:D25"/>
    <mergeCell ref="E24:E25"/>
    <mergeCell ref="B10:C10"/>
    <mergeCell ref="B11:C11"/>
    <mergeCell ref="B12:C12"/>
    <mergeCell ref="B24:C25"/>
    <mergeCell ref="B21:C21"/>
    <mergeCell ref="B22:C22"/>
    <mergeCell ref="B14:E14"/>
    <mergeCell ref="B16:C1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5EC73-3F51-4F01-B29B-6082445BD5CD}">
  <dimension ref="A1:E46"/>
  <sheetViews>
    <sheetView zoomScale="70" zoomScaleNormal="70" workbookViewId="0">
      <selection sqref="A1:E4"/>
    </sheetView>
  </sheetViews>
  <sheetFormatPr defaultColWidth="9.140625" defaultRowHeight="15.75" x14ac:dyDescent="0.25"/>
  <cols>
    <col min="1" max="1" width="1.85546875" style="3" customWidth="1"/>
    <col min="2" max="2" width="25.7109375" style="109" bestFit="1" customWidth="1"/>
    <col min="3" max="3" width="32.42578125" style="66" customWidth="1"/>
    <col min="4" max="4" width="25" style="3" customWidth="1"/>
    <col min="5" max="5" width="15.7109375" style="81" customWidth="1"/>
    <col min="6" max="7" width="11.5703125" style="3" bestFit="1" customWidth="1"/>
    <col min="8" max="16384" width="9.140625" style="3"/>
  </cols>
  <sheetData>
    <row r="1" spans="1:5" ht="18.75" x14ac:dyDescent="0.25">
      <c r="A1" s="133" t="s">
        <v>81</v>
      </c>
      <c r="B1" s="133"/>
      <c r="C1" s="133"/>
      <c r="D1" s="133"/>
      <c r="E1" s="133"/>
    </row>
    <row r="2" spans="1:5" ht="18.75" x14ac:dyDescent="0.25">
      <c r="A2" s="133" t="s">
        <v>3</v>
      </c>
      <c r="B2" s="133"/>
      <c r="C2" s="133"/>
      <c r="D2" s="133"/>
      <c r="E2" s="133"/>
    </row>
    <row r="3" spans="1:5" ht="18.75" x14ac:dyDescent="0.25">
      <c r="A3" s="133" t="s">
        <v>33</v>
      </c>
      <c r="B3" s="133"/>
      <c r="C3" s="133"/>
      <c r="D3" s="133"/>
      <c r="E3" s="133"/>
    </row>
    <row r="4" spans="1:5" ht="24" customHeight="1" thickBot="1" x14ac:dyDescent="0.3">
      <c r="A4" s="134" t="s">
        <v>85</v>
      </c>
      <c r="B4" s="134"/>
      <c r="C4" s="134"/>
      <c r="D4" s="134"/>
      <c r="E4" s="134"/>
    </row>
    <row r="5" spans="1:5" x14ac:dyDescent="0.25">
      <c r="B5" s="174" t="s">
        <v>34</v>
      </c>
      <c r="C5" s="175"/>
      <c r="D5" s="175"/>
      <c r="E5" s="176"/>
    </row>
    <row r="6" spans="1:5" ht="10.5" customHeight="1" thickBot="1" x14ac:dyDescent="0.3">
      <c r="B6" s="177"/>
      <c r="C6" s="178"/>
      <c r="D6" s="178"/>
      <c r="E6" s="179"/>
    </row>
    <row r="7" spans="1:5" ht="16.5" customHeight="1" x14ac:dyDescent="0.25">
      <c r="B7" s="193" t="s">
        <v>87</v>
      </c>
      <c r="C7" s="190"/>
      <c r="D7" s="190"/>
      <c r="E7" s="190"/>
    </row>
    <row r="8" spans="1:5" x14ac:dyDescent="0.25">
      <c r="B8" s="114" t="s">
        <v>7</v>
      </c>
      <c r="C8" s="191" t="s">
        <v>12</v>
      </c>
      <c r="D8" s="191"/>
      <c r="E8" s="192" t="s">
        <v>35</v>
      </c>
    </row>
    <row r="9" spans="1:5" x14ac:dyDescent="0.25">
      <c r="C9" s="35"/>
      <c r="D9" s="43"/>
      <c r="E9" s="79"/>
    </row>
    <row r="10" spans="1:5" x14ac:dyDescent="0.25">
      <c r="C10" s="35"/>
      <c r="D10" s="43"/>
      <c r="E10" s="80"/>
    </row>
    <row r="11" spans="1:5" x14ac:dyDescent="0.25">
      <c r="C11" s="35"/>
      <c r="D11" s="43"/>
      <c r="E11" s="80"/>
    </row>
    <row r="12" spans="1:5" ht="24" customHeight="1" x14ac:dyDescent="0.25">
      <c r="C12" s="180"/>
      <c r="D12" s="180"/>
      <c r="E12" s="82"/>
    </row>
    <row r="13" spans="1:5" ht="19.5" customHeight="1" x14ac:dyDescent="0.25">
      <c r="B13" s="133"/>
      <c r="C13" s="133"/>
      <c r="D13" s="133"/>
      <c r="E13" s="133"/>
    </row>
    <row r="14" spans="1:5" ht="18.75" x14ac:dyDescent="0.25">
      <c r="B14" s="133" t="s">
        <v>39</v>
      </c>
      <c r="C14" s="133"/>
      <c r="D14" s="133"/>
      <c r="E14" s="133"/>
    </row>
    <row r="15" spans="1:5" x14ac:dyDescent="0.25">
      <c r="C15" s="111" t="s">
        <v>36</v>
      </c>
      <c r="D15" s="46"/>
      <c r="E15" s="82">
        <f>SUM(E12)</f>
        <v>0</v>
      </c>
    </row>
    <row r="16" spans="1:5" ht="16.5" thickBot="1" x14ac:dyDescent="0.3"/>
    <row r="17" spans="1:5" ht="18.75" x14ac:dyDescent="0.25">
      <c r="A17" s="1"/>
      <c r="B17" s="174" t="s">
        <v>37</v>
      </c>
      <c r="C17" s="175"/>
      <c r="D17" s="175"/>
      <c r="E17" s="176"/>
    </row>
    <row r="18" spans="1:5" ht="16.5" thickBot="1" x14ac:dyDescent="0.3">
      <c r="B18" s="177"/>
      <c r="C18" s="178"/>
      <c r="D18" s="178"/>
      <c r="E18" s="179"/>
    </row>
    <row r="19" spans="1:5" x14ac:dyDescent="0.25">
      <c r="B19" s="193" t="s">
        <v>87</v>
      </c>
      <c r="C19" s="190"/>
      <c r="D19" s="190"/>
      <c r="E19" s="190"/>
    </row>
    <row r="20" spans="1:5" x14ac:dyDescent="0.25">
      <c r="B20" s="114" t="s">
        <v>7</v>
      </c>
      <c r="C20" s="191" t="s">
        <v>12</v>
      </c>
      <c r="D20" s="191"/>
      <c r="E20" s="192" t="s">
        <v>35</v>
      </c>
    </row>
    <row r="21" spans="1:5" x14ac:dyDescent="0.25">
      <c r="D21" s="85"/>
      <c r="E21" s="84"/>
    </row>
    <row r="22" spans="1:5" x14ac:dyDescent="0.25">
      <c r="D22" s="48"/>
      <c r="E22" s="80"/>
    </row>
    <row r="23" spans="1:5" x14ac:dyDescent="0.25">
      <c r="D23" s="85"/>
      <c r="E23" s="86"/>
    </row>
    <row r="24" spans="1:5" x14ac:dyDescent="0.25">
      <c r="D24" s="85"/>
      <c r="E24" s="86"/>
    </row>
    <row r="25" spans="1:5" x14ac:dyDescent="0.25">
      <c r="D25" s="85"/>
      <c r="E25" s="86"/>
    </row>
    <row r="26" spans="1:5" x14ac:dyDescent="0.25">
      <c r="D26" s="85"/>
      <c r="E26" s="86"/>
    </row>
    <row r="27" spans="1:5" x14ac:dyDescent="0.25">
      <c r="D27" s="85"/>
      <c r="E27" s="86"/>
    </row>
    <row r="28" spans="1:5" x14ac:dyDescent="0.25">
      <c r="D28" s="85"/>
      <c r="E28" s="86"/>
    </row>
    <row r="29" spans="1:5" x14ac:dyDescent="0.25">
      <c r="C29" s="182"/>
      <c r="D29" s="182"/>
      <c r="E29" s="82"/>
    </row>
    <row r="30" spans="1:5" x14ac:dyDescent="0.25">
      <c r="D30" s="85"/>
      <c r="E30" s="84"/>
    </row>
    <row r="31" spans="1:5" x14ac:dyDescent="0.25">
      <c r="D31" s="85"/>
      <c r="E31" s="84"/>
    </row>
    <row r="32" spans="1:5" ht="23.25" customHeight="1" x14ac:dyDescent="0.25">
      <c r="B32" s="181" t="s">
        <v>38</v>
      </c>
      <c r="C32" s="181"/>
      <c r="D32" s="181"/>
      <c r="E32" s="82">
        <f>SUM(E29)</f>
        <v>0</v>
      </c>
    </row>
    <row r="33" spans="1:5" ht="19.5" thickBot="1" x14ac:dyDescent="0.3">
      <c r="A33" s="133"/>
      <c r="B33" s="133"/>
      <c r="C33" s="133"/>
      <c r="D33" s="133"/>
      <c r="E33" s="133"/>
    </row>
    <row r="34" spans="1:5" x14ac:dyDescent="0.25">
      <c r="B34" s="174" t="s">
        <v>40</v>
      </c>
      <c r="C34" s="175"/>
      <c r="D34" s="175"/>
      <c r="E34" s="176"/>
    </row>
    <row r="35" spans="1:5" ht="16.5" thickBot="1" x14ac:dyDescent="0.3">
      <c r="B35" s="177"/>
      <c r="C35" s="178"/>
      <c r="D35" s="178"/>
      <c r="E35" s="179"/>
    </row>
    <row r="36" spans="1:5" x14ac:dyDescent="0.25">
      <c r="B36" s="193" t="s">
        <v>87</v>
      </c>
      <c r="C36" s="190"/>
      <c r="D36" s="190"/>
      <c r="E36" s="190"/>
    </row>
    <row r="37" spans="1:5" x14ac:dyDescent="0.25">
      <c r="B37" s="114" t="s">
        <v>7</v>
      </c>
      <c r="C37" s="191" t="s">
        <v>12</v>
      </c>
      <c r="D37" s="191"/>
      <c r="E37" s="192" t="s">
        <v>35</v>
      </c>
    </row>
    <row r="38" spans="1:5" x14ac:dyDescent="0.25">
      <c r="E38" s="83"/>
    </row>
    <row r="39" spans="1:5" x14ac:dyDescent="0.25">
      <c r="E39" s="83"/>
    </row>
    <row r="40" spans="1:5" x14ac:dyDescent="0.25">
      <c r="E40" s="83"/>
    </row>
    <row r="41" spans="1:5" x14ac:dyDescent="0.25">
      <c r="C41" s="57"/>
      <c r="D41" s="87"/>
      <c r="E41" s="113"/>
    </row>
    <row r="42" spans="1:5" x14ac:dyDescent="0.25">
      <c r="C42" s="173"/>
      <c r="D42" s="173"/>
      <c r="E42" s="82">
        <f>SUM(E38:E40)</f>
        <v>0</v>
      </c>
    </row>
    <row r="43" spans="1:5" x14ac:dyDescent="0.25">
      <c r="E43" s="83"/>
    </row>
    <row r="44" spans="1:5" x14ac:dyDescent="0.25">
      <c r="C44" s="111" t="s">
        <v>41</v>
      </c>
      <c r="D44" s="47"/>
      <c r="E44" s="82">
        <f>SUM(E42)</f>
        <v>0</v>
      </c>
    </row>
    <row r="46" spans="1:5" ht="19.5" thickBot="1" x14ac:dyDescent="0.35">
      <c r="C46" s="112" t="s">
        <v>42</v>
      </c>
      <c r="D46" s="171">
        <f>SUM(E44,E32,E15)</f>
        <v>0</v>
      </c>
      <c r="E46" s="172"/>
    </row>
  </sheetData>
  <mergeCells count="18">
    <mergeCell ref="C12:D12"/>
    <mergeCell ref="B13:E13"/>
    <mergeCell ref="B32:D32"/>
    <mergeCell ref="C29:D29"/>
    <mergeCell ref="B17:E18"/>
    <mergeCell ref="C20:D20"/>
    <mergeCell ref="C8:D8"/>
    <mergeCell ref="A1:E1"/>
    <mergeCell ref="A2:E2"/>
    <mergeCell ref="A3:E3"/>
    <mergeCell ref="A4:E4"/>
    <mergeCell ref="B5:E6"/>
    <mergeCell ref="D46:E46"/>
    <mergeCell ref="B14:E14"/>
    <mergeCell ref="C42:D42"/>
    <mergeCell ref="A33:E33"/>
    <mergeCell ref="B34:E35"/>
    <mergeCell ref="C37:D3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24B7-5C44-4A38-B3A7-DFC7EFAAD63D}">
  <dimension ref="A1:F98"/>
  <sheetViews>
    <sheetView zoomScale="70" zoomScaleNormal="70" workbookViewId="0">
      <selection activeCell="B3" sqref="B3:F3"/>
    </sheetView>
  </sheetViews>
  <sheetFormatPr defaultColWidth="9.140625" defaultRowHeight="15.75" x14ac:dyDescent="0.25"/>
  <cols>
    <col min="1" max="1" width="2" style="2" customWidth="1"/>
    <col min="2" max="2" width="25.7109375" style="109" bestFit="1" customWidth="1"/>
    <col min="3" max="3" width="8" style="66" customWidth="1"/>
    <col min="4" max="4" width="38.140625" style="31" customWidth="1"/>
    <col min="5" max="5" width="8.85546875" style="2" customWidth="1"/>
    <col min="6" max="6" width="18.140625" style="49" customWidth="1"/>
    <col min="7" max="7" width="44" style="2" customWidth="1"/>
    <col min="8" max="8" width="15.42578125" style="2" bestFit="1" customWidth="1"/>
    <col min="9" max="9" width="11.5703125" style="2" bestFit="1" customWidth="1"/>
    <col min="10" max="16384" width="9.140625" style="2"/>
  </cols>
  <sheetData>
    <row r="1" spans="1:6" ht="18.75" x14ac:dyDescent="0.25">
      <c r="A1" s="196"/>
      <c r="B1" s="133" t="s">
        <v>81</v>
      </c>
      <c r="C1" s="133"/>
      <c r="D1" s="133"/>
      <c r="E1" s="133"/>
      <c r="F1" s="133"/>
    </row>
    <row r="2" spans="1:6" ht="18.75" x14ac:dyDescent="0.25">
      <c r="A2" s="196"/>
      <c r="B2" s="133" t="s">
        <v>5</v>
      </c>
      <c r="C2" s="133"/>
      <c r="D2" s="133"/>
      <c r="E2" s="133"/>
      <c r="F2" s="133"/>
    </row>
    <row r="3" spans="1:6" ht="18.75" x14ac:dyDescent="0.25">
      <c r="A3" s="196"/>
      <c r="B3" s="133" t="s">
        <v>43</v>
      </c>
      <c r="C3" s="133"/>
      <c r="D3" s="133"/>
      <c r="E3" s="133"/>
      <c r="F3" s="133"/>
    </row>
    <row r="4" spans="1:6" ht="16.5" thickBot="1" x14ac:dyDescent="0.3">
      <c r="A4" s="197"/>
      <c r="B4" s="134" t="s">
        <v>85</v>
      </c>
      <c r="C4" s="134"/>
      <c r="D4" s="134"/>
      <c r="E4" s="134"/>
      <c r="F4" s="134"/>
    </row>
    <row r="5" spans="1:6" x14ac:dyDescent="0.25">
      <c r="A5" s="3"/>
      <c r="B5" s="126" t="s">
        <v>44</v>
      </c>
      <c r="C5" s="127"/>
      <c r="D5" s="127"/>
      <c r="E5" s="127"/>
      <c r="F5" s="128"/>
    </row>
    <row r="6" spans="1:6" ht="16.5" thickBot="1" x14ac:dyDescent="0.3">
      <c r="A6" s="3"/>
      <c r="B6" s="129"/>
      <c r="C6" s="130"/>
      <c r="D6" s="130"/>
      <c r="E6" s="130"/>
      <c r="F6" s="131"/>
    </row>
    <row r="7" spans="1:6" x14ac:dyDescent="0.25">
      <c r="A7" s="3"/>
      <c r="B7" s="194"/>
      <c r="C7" s="194"/>
      <c r="D7" s="194"/>
      <c r="E7" s="194"/>
      <c r="F7" s="194"/>
    </row>
    <row r="8" spans="1:6" x14ac:dyDescent="0.25">
      <c r="A8" s="3"/>
      <c r="B8" s="195" t="s">
        <v>87</v>
      </c>
      <c r="C8" s="194"/>
      <c r="D8" s="194"/>
      <c r="E8" s="194"/>
      <c r="F8" s="194"/>
    </row>
    <row r="9" spans="1:6" ht="15.75" customHeight="1" x14ac:dyDescent="0.25">
      <c r="B9" s="114" t="s">
        <v>7</v>
      </c>
      <c r="C9" s="87" t="s">
        <v>45</v>
      </c>
      <c r="D9" s="45" t="s">
        <v>12</v>
      </c>
      <c r="E9" s="45" t="s">
        <v>46</v>
      </c>
      <c r="F9" s="88" t="s">
        <v>35</v>
      </c>
    </row>
    <row r="10" spans="1:6" x14ac:dyDescent="0.25">
      <c r="F10" s="89"/>
    </row>
    <row r="11" spans="1:6" x14ac:dyDescent="0.25">
      <c r="F11" s="54"/>
    </row>
    <row r="12" spans="1:6" x14ac:dyDescent="0.25">
      <c r="F12" s="54"/>
    </row>
    <row r="13" spans="1:6" x14ac:dyDescent="0.25">
      <c r="F13" s="54"/>
    </row>
    <row r="14" spans="1:6" x14ac:dyDescent="0.25">
      <c r="F14" s="54"/>
    </row>
    <row r="15" spans="1:6" x14ac:dyDescent="0.25">
      <c r="F15" s="54"/>
    </row>
    <row r="16" spans="1:6" x14ac:dyDescent="0.25">
      <c r="F16" s="54"/>
    </row>
    <row r="17" spans="2:6" x14ac:dyDescent="0.25">
      <c r="F17" s="54"/>
    </row>
    <row r="18" spans="2:6" x14ac:dyDescent="0.25">
      <c r="F18" s="54"/>
    </row>
    <row r="19" spans="2:6" x14ac:dyDescent="0.25">
      <c r="F19" s="54"/>
    </row>
    <row r="20" spans="2:6" x14ac:dyDescent="0.25">
      <c r="F20" s="54"/>
    </row>
    <row r="21" spans="2:6" x14ac:dyDescent="0.25">
      <c r="B21" s="110"/>
      <c r="D21" s="50"/>
      <c r="E21" s="52"/>
      <c r="F21" s="90">
        <f>SUM(F10:F19)</f>
        <v>0</v>
      </c>
    </row>
    <row r="22" spans="2:6" x14ac:dyDescent="0.25">
      <c r="D22" s="2"/>
      <c r="E22" s="53"/>
      <c r="F22" s="54"/>
    </row>
    <row r="23" spans="2:6" ht="15.75" customHeight="1" x14ac:dyDescent="0.25">
      <c r="B23" s="91"/>
      <c r="C23" s="132" t="s">
        <v>47</v>
      </c>
      <c r="D23" s="132"/>
      <c r="E23" s="132"/>
      <c r="F23" s="90">
        <f>SUM(F21)</f>
        <v>0</v>
      </c>
    </row>
    <row r="24" spans="2:6" ht="16.5" thickBot="1" x14ac:dyDescent="0.3"/>
    <row r="25" spans="2:6" x14ac:dyDescent="0.25">
      <c r="B25" s="126" t="s">
        <v>48</v>
      </c>
      <c r="C25" s="127"/>
      <c r="D25" s="127"/>
      <c r="E25" s="127"/>
      <c r="F25" s="128"/>
    </row>
    <row r="26" spans="2:6" ht="16.5" thickBot="1" x14ac:dyDescent="0.3">
      <c r="B26" s="129"/>
      <c r="C26" s="130"/>
      <c r="D26" s="130"/>
      <c r="E26" s="130"/>
      <c r="F26" s="131"/>
    </row>
    <row r="27" spans="2:6" x14ac:dyDescent="0.25">
      <c r="B27" s="195" t="s">
        <v>87</v>
      </c>
      <c r="C27" s="194"/>
      <c r="D27" s="194"/>
      <c r="E27" s="194"/>
      <c r="F27" s="194"/>
    </row>
    <row r="28" spans="2:6" x14ac:dyDescent="0.25">
      <c r="B28" s="114" t="s">
        <v>7</v>
      </c>
      <c r="C28" s="87" t="s">
        <v>45</v>
      </c>
      <c r="D28" s="45" t="s">
        <v>12</v>
      </c>
      <c r="E28" s="45" t="s">
        <v>46</v>
      </c>
      <c r="F28" s="88" t="s">
        <v>35</v>
      </c>
    </row>
    <row r="29" spans="2:6" x14ac:dyDescent="0.25">
      <c r="F29" s="89"/>
    </row>
    <row r="30" spans="2:6" x14ac:dyDescent="0.25">
      <c r="F30" s="54"/>
    </row>
    <row r="31" spans="2:6" x14ac:dyDescent="0.25">
      <c r="F31" s="54"/>
    </row>
    <row r="32" spans="2:6" x14ac:dyDescent="0.25">
      <c r="F32" s="54"/>
    </row>
    <row r="33" spans="1:6" x14ac:dyDescent="0.25">
      <c r="F33" s="54"/>
    </row>
    <row r="34" spans="1:6" x14ac:dyDescent="0.25">
      <c r="F34" s="54"/>
    </row>
    <row r="35" spans="1:6" x14ac:dyDescent="0.25">
      <c r="F35" s="54"/>
    </row>
    <row r="36" spans="1:6" x14ac:dyDescent="0.25">
      <c r="F36" s="54"/>
    </row>
    <row r="37" spans="1:6" x14ac:dyDescent="0.25">
      <c r="F37" s="54"/>
    </row>
    <row r="38" spans="1:6" x14ac:dyDescent="0.25">
      <c r="F38" s="54"/>
    </row>
    <row r="39" spans="1:6" x14ac:dyDescent="0.25">
      <c r="F39" s="54"/>
    </row>
    <row r="40" spans="1:6" x14ac:dyDescent="0.25">
      <c r="D40" s="50"/>
      <c r="E40" s="52"/>
      <c r="F40" s="90"/>
    </row>
    <row r="41" spans="1:6" x14ac:dyDescent="0.25">
      <c r="A41" s="2" t="s">
        <v>75</v>
      </c>
      <c r="F41" s="89"/>
    </row>
    <row r="42" spans="1:6" x14ac:dyDescent="0.25">
      <c r="F42" s="54"/>
    </row>
    <row r="43" spans="1:6" x14ac:dyDescent="0.25">
      <c r="D43" s="55" t="s">
        <v>76</v>
      </c>
      <c r="E43" s="52"/>
      <c r="F43" s="51">
        <f>SUM(F40)</f>
        <v>0</v>
      </c>
    </row>
    <row r="44" spans="1:6" ht="19.5" thickBot="1" x14ac:dyDescent="0.3">
      <c r="A44" s="133"/>
      <c r="B44" s="133"/>
      <c r="C44" s="133"/>
      <c r="D44" s="133"/>
      <c r="E44" s="133"/>
      <c r="F44" s="133"/>
    </row>
    <row r="45" spans="1:6" ht="18.75" x14ac:dyDescent="0.25">
      <c r="A45" s="1"/>
      <c r="B45" s="126" t="s">
        <v>49</v>
      </c>
      <c r="C45" s="127"/>
      <c r="D45" s="127"/>
      <c r="E45" s="127"/>
      <c r="F45" s="128"/>
    </row>
    <row r="46" spans="1:6" ht="19.5" thickBot="1" x14ac:dyDescent="0.3">
      <c r="A46" s="1"/>
      <c r="B46" s="129"/>
      <c r="C46" s="130"/>
      <c r="D46" s="130"/>
      <c r="E46" s="130"/>
      <c r="F46" s="131"/>
    </row>
    <row r="47" spans="1:6" ht="18.75" x14ac:dyDescent="0.25">
      <c r="A47" s="1"/>
      <c r="B47" s="195" t="s">
        <v>87</v>
      </c>
      <c r="C47" s="194"/>
      <c r="D47" s="194"/>
      <c r="E47" s="194"/>
      <c r="F47" s="194"/>
    </row>
    <row r="48" spans="1:6" ht="18.75" x14ac:dyDescent="0.25">
      <c r="A48" s="1"/>
      <c r="B48" s="114" t="s">
        <v>7</v>
      </c>
      <c r="C48" s="87" t="s">
        <v>45</v>
      </c>
      <c r="D48" s="45" t="s">
        <v>12</v>
      </c>
      <c r="E48" s="45" t="s">
        <v>46</v>
      </c>
      <c r="F48" s="88" t="s">
        <v>35</v>
      </c>
    </row>
    <row r="49" spans="1:6" ht="18.75" x14ac:dyDescent="0.25">
      <c r="A49" s="1"/>
      <c r="F49" s="89"/>
    </row>
    <row r="50" spans="1:6" ht="18.75" x14ac:dyDescent="0.25">
      <c r="A50" s="1"/>
      <c r="F50" s="54"/>
    </row>
    <row r="51" spans="1:6" ht="18.75" x14ac:dyDescent="0.25">
      <c r="A51" s="133"/>
      <c r="B51" s="133"/>
      <c r="C51" s="133"/>
      <c r="D51" s="133"/>
      <c r="E51" s="133"/>
      <c r="F51" s="133"/>
    </row>
    <row r="52" spans="1:6" ht="18.75" x14ac:dyDescent="0.25">
      <c r="A52" s="1"/>
      <c r="F52" s="54"/>
    </row>
    <row r="53" spans="1:6" ht="18.75" x14ac:dyDescent="0.25">
      <c r="A53" s="1"/>
      <c r="F53" s="54"/>
    </row>
    <row r="54" spans="1:6" ht="18.75" x14ac:dyDescent="0.25">
      <c r="A54" s="1"/>
      <c r="F54" s="54"/>
    </row>
    <row r="55" spans="1:6" ht="18.75" x14ac:dyDescent="0.25">
      <c r="A55" s="1"/>
      <c r="F55" s="54"/>
    </row>
    <row r="56" spans="1:6" ht="18.75" x14ac:dyDescent="0.25">
      <c r="A56" s="1"/>
      <c r="D56" s="50"/>
      <c r="E56" s="52"/>
      <c r="F56" s="90">
        <f>SUM(F49:F55)</f>
        <v>0</v>
      </c>
    </row>
    <row r="57" spans="1:6" ht="18.75" x14ac:dyDescent="0.25">
      <c r="A57" s="1"/>
      <c r="F57" s="54"/>
    </row>
    <row r="58" spans="1:6" ht="18.75" x14ac:dyDescent="0.25">
      <c r="A58" s="1"/>
      <c r="F58" s="89"/>
    </row>
    <row r="59" spans="1:6" ht="18.75" customHeight="1" x14ac:dyDescent="0.25">
      <c r="A59" s="1"/>
      <c r="C59" s="132" t="s">
        <v>50</v>
      </c>
      <c r="D59" s="132"/>
      <c r="E59" s="132"/>
      <c r="F59" s="56">
        <f>SUM(F56)</f>
        <v>0</v>
      </c>
    </row>
    <row r="60" spans="1:6" ht="18.75" x14ac:dyDescent="0.25">
      <c r="A60" s="1"/>
      <c r="F60" s="54"/>
    </row>
    <row r="61" spans="1:6" ht="16.5" thickBot="1" x14ac:dyDescent="0.3">
      <c r="F61" s="54"/>
    </row>
    <row r="62" spans="1:6" x14ac:dyDescent="0.25">
      <c r="B62" s="126" t="s">
        <v>51</v>
      </c>
      <c r="C62" s="127"/>
      <c r="D62" s="127"/>
      <c r="E62" s="127"/>
      <c r="F62" s="128"/>
    </row>
    <row r="63" spans="1:6" ht="16.5" thickBot="1" x14ac:dyDescent="0.3">
      <c r="B63" s="129"/>
      <c r="C63" s="130"/>
      <c r="D63" s="130"/>
      <c r="E63" s="130"/>
      <c r="F63" s="131"/>
    </row>
    <row r="64" spans="1:6" x14ac:dyDescent="0.25">
      <c r="B64" s="195" t="s">
        <v>87</v>
      </c>
      <c r="C64" s="194"/>
      <c r="D64" s="194"/>
      <c r="E64" s="194"/>
      <c r="F64" s="194"/>
    </row>
    <row r="65" spans="1:6" x14ac:dyDescent="0.25">
      <c r="A65" s="52"/>
      <c r="B65" s="114" t="s">
        <v>7</v>
      </c>
      <c r="C65" s="87" t="s">
        <v>45</v>
      </c>
      <c r="D65" s="45" t="s">
        <v>12</v>
      </c>
      <c r="E65" s="45" t="s">
        <v>46</v>
      </c>
      <c r="F65" s="88" t="s">
        <v>35</v>
      </c>
    </row>
    <row r="66" spans="1:6" x14ac:dyDescent="0.25">
      <c r="F66" s="89"/>
    </row>
    <row r="67" spans="1:6" x14ac:dyDescent="0.25">
      <c r="F67" s="54"/>
    </row>
    <row r="68" spans="1:6" x14ac:dyDescent="0.25">
      <c r="F68" s="89"/>
    </row>
    <row r="69" spans="1:6" x14ac:dyDescent="0.25">
      <c r="F69" s="89"/>
    </row>
    <row r="70" spans="1:6" x14ac:dyDescent="0.25">
      <c r="D70" s="50"/>
      <c r="E70" s="52"/>
      <c r="F70" s="90"/>
    </row>
    <row r="71" spans="1:6" x14ac:dyDescent="0.25">
      <c r="F71" s="89"/>
    </row>
    <row r="72" spans="1:6" x14ac:dyDescent="0.25">
      <c r="C72" s="132" t="s">
        <v>52</v>
      </c>
      <c r="D72" s="132"/>
      <c r="E72" s="132"/>
      <c r="F72" s="90">
        <f>SUM(F70)</f>
        <v>0</v>
      </c>
    </row>
    <row r="73" spans="1:6" x14ac:dyDescent="0.25">
      <c r="D73" s="91"/>
      <c r="F73" s="89"/>
    </row>
    <row r="74" spans="1:6" ht="16.5" thickBot="1" x14ac:dyDescent="0.3">
      <c r="D74" s="91"/>
      <c r="F74" s="89"/>
    </row>
    <row r="75" spans="1:6" x14ac:dyDescent="0.25">
      <c r="B75" s="126" t="s">
        <v>57</v>
      </c>
      <c r="C75" s="127"/>
      <c r="D75" s="127"/>
      <c r="E75" s="127"/>
      <c r="F75" s="128"/>
    </row>
    <row r="76" spans="1:6" ht="16.5" thickBot="1" x14ac:dyDescent="0.3">
      <c r="B76" s="129"/>
      <c r="C76" s="130"/>
      <c r="D76" s="130"/>
      <c r="E76" s="130"/>
      <c r="F76" s="131"/>
    </row>
    <row r="77" spans="1:6" s="3" customFormat="1" x14ac:dyDescent="0.25">
      <c r="B77" s="195" t="s">
        <v>87</v>
      </c>
      <c r="C77" s="194"/>
      <c r="D77" s="194"/>
      <c r="E77" s="194"/>
      <c r="F77" s="194"/>
    </row>
    <row r="78" spans="1:6" x14ac:dyDescent="0.25">
      <c r="B78" s="114" t="s">
        <v>7</v>
      </c>
      <c r="C78" s="87" t="s">
        <v>45</v>
      </c>
      <c r="D78" s="45" t="s">
        <v>12</v>
      </c>
      <c r="E78" s="45" t="s">
        <v>46</v>
      </c>
      <c r="F78" s="88" t="s">
        <v>35</v>
      </c>
    </row>
    <row r="79" spans="1:6" x14ac:dyDescent="0.25">
      <c r="C79" s="40"/>
      <c r="F79" s="89"/>
    </row>
    <row r="80" spans="1:6" x14ac:dyDescent="0.25">
      <c r="C80" s="40"/>
      <c r="F80" s="53"/>
    </row>
    <row r="81" spans="1:6" x14ac:dyDescent="0.25">
      <c r="C81" s="40"/>
      <c r="F81" s="53"/>
    </row>
    <row r="82" spans="1:6" x14ac:dyDescent="0.25">
      <c r="C82" s="40"/>
      <c r="F82" s="53"/>
    </row>
    <row r="83" spans="1:6" x14ac:dyDescent="0.25">
      <c r="C83" s="40"/>
      <c r="F83" s="53"/>
    </row>
    <row r="84" spans="1:6" x14ac:dyDescent="0.25">
      <c r="C84" s="40"/>
      <c r="D84" s="50" t="s">
        <v>58</v>
      </c>
      <c r="E84" s="52"/>
      <c r="F84" s="90">
        <f ca="1">SUM(F79:F95)</f>
        <v>0</v>
      </c>
    </row>
    <row r="85" spans="1:6" x14ac:dyDescent="0.25">
      <c r="F85" s="54"/>
    </row>
    <row r="86" spans="1:6" x14ac:dyDescent="0.25">
      <c r="D86" s="55" t="s">
        <v>59</v>
      </c>
      <c r="E86" s="52"/>
      <c r="F86" s="51">
        <f ca="1">SUM(F84)</f>
        <v>0</v>
      </c>
    </row>
    <row r="87" spans="1:6" ht="16.5" thickBot="1" x14ac:dyDescent="0.3">
      <c r="C87" s="40"/>
      <c r="F87" s="53"/>
    </row>
    <row r="88" spans="1:6" x14ac:dyDescent="0.25">
      <c r="B88" s="126" t="s">
        <v>86</v>
      </c>
      <c r="C88" s="127"/>
      <c r="D88" s="127"/>
      <c r="E88" s="127"/>
      <c r="F88" s="128"/>
    </row>
    <row r="89" spans="1:6" ht="16.5" thickBot="1" x14ac:dyDescent="0.3">
      <c r="B89" s="129"/>
      <c r="C89" s="130"/>
      <c r="D89" s="130"/>
      <c r="E89" s="130"/>
      <c r="F89" s="131"/>
    </row>
    <row r="90" spans="1:6" x14ac:dyDescent="0.25">
      <c r="B90" s="195" t="s">
        <v>87</v>
      </c>
      <c r="C90" s="194"/>
      <c r="D90" s="194"/>
      <c r="E90" s="194"/>
      <c r="F90" s="194"/>
    </row>
    <row r="91" spans="1:6" ht="18.75" x14ac:dyDescent="0.25">
      <c r="A91" s="196"/>
      <c r="B91" s="114" t="s">
        <v>7</v>
      </c>
      <c r="C91" s="87" t="s">
        <v>45</v>
      </c>
      <c r="D91" s="45" t="s">
        <v>12</v>
      </c>
      <c r="E91" s="45" t="s">
        <v>46</v>
      </c>
      <c r="F91" s="88" t="s">
        <v>35</v>
      </c>
    </row>
    <row r="92" spans="1:6" ht="18.75" x14ac:dyDescent="0.25">
      <c r="A92" s="196"/>
      <c r="B92" s="196"/>
      <c r="C92" s="196"/>
      <c r="D92" s="196"/>
      <c r="E92" s="196"/>
      <c r="F92" s="196"/>
    </row>
    <row r="93" spans="1:6" x14ac:dyDescent="0.25">
      <c r="C93" s="40"/>
      <c r="F93" s="53"/>
    </row>
    <row r="94" spans="1:6" x14ac:dyDescent="0.25">
      <c r="C94" s="40"/>
      <c r="F94" s="53"/>
    </row>
    <row r="95" spans="1:6" x14ac:dyDescent="0.25">
      <c r="C95" s="40"/>
      <c r="F95" s="53"/>
    </row>
    <row r="96" spans="1:6" x14ac:dyDescent="0.25">
      <c r="C96" s="40"/>
      <c r="F96" s="53"/>
    </row>
    <row r="97" spans="4:6" ht="16.5" thickBot="1" x14ac:dyDescent="0.3"/>
    <row r="98" spans="4:6" ht="19.5" thickBot="1" x14ac:dyDescent="0.35">
      <c r="D98" s="58" t="s">
        <v>53</v>
      </c>
      <c r="E98" s="59"/>
      <c r="F98" s="60">
        <f ca="1">SUM(F86,F72,F59,F43,F23)</f>
        <v>0</v>
      </c>
    </row>
  </sheetData>
  <mergeCells count="15">
    <mergeCell ref="C23:E23"/>
    <mergeCell ref="B1:F1"/>
    <mergeCell ref="B2:F2"/>
    <mergeCell ref="B3:F3"/>
    <mergeCell ref="B4:F4"/>
    <mergeCell ref="B5:F6"/>
    <mergeCell ref="B88:F89"/>
    <mergeCell ref="C72:E72"/>
    <mergeCell ref="B25:F26"/>
    <mergeCell ref="B75:F76"/>
    <mergeCell ref="B62:F63"/>
    <mergeCell ref="C59:E59"/>
    <mergeCell ref="A51:F51"/>
    <mergeCell ref="A44:F44"/>
    <mergeCell ref="B45:F4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51CB3-8392-4A07-85F3-C67207FFC5EB}">
  <dimension ref="B2:F13"/>
  <sheetViews>
    <sheetView topLeftCell="A9" zoomScaleNormal="100" workbookViewId="0">
      <selection activeCell="M42" sqref="M42"/>
    </sheetView>
  </sheetViews>
  <sheetFormatPr defaultColWidth="9.140625" defaultRowHeight="15" x14ac:dyDescent="0.25"/>
  <cols>
    <col min="1" max="1" width="0.7109375" style="61" customWidth="1"/>
    <col min="2" max="2" width="10.85546875" style="99" customWidth="1"/>
    <col min="3" max="4" width="9.140625" style="61"/>
    <col min="5" max="5" width="45.7109375" style="61" customWidth="1"/>
    <col min="6" max="6" width="14.85546875" style="106" bestFit="1" customWidth="1"/>
    <col min="7" max="7" width="4.42578125" style="61" customWidth="1"/>
    <col min="8" max="16384" width="9.140625" style="61"/>
  </cols>
  <sheetData>
    <row r="2" spans="2:6" ht="18.75" x14ac:dyDescent="0.25">
      <c r="B2" s="133" t="s">
        <v>81</v>
      </c>
      <c r="C2" s="133"/>
      <c r="D2" s="133"/>
      <c r="E2" s="133"/>
      <c r="F2" s="133"/>
    </row>
    <row r="3" spans="2:6" ht="18.75" x14ac:dyDescent="0.25">
      <c r="B3" s="133" t="s">
        <v>4</v>
      </c>
      <c r="C3" s="133"/>
      <c r="D3" s="133"/>
      <c r="E3" s="133"/>
      <c r="F3" s="133"/>
    </row>
    <row r="4" spans="2:6" x14ac:dyDescent="0.25">
      <c r="B4" s="184" t="s">
        <v>54</v>
      </c>
      <c r="C4" s="184"/>
      <c r="D4" s="184"/>
      <c r="E4" s="184"/>
      <c r="F4" s="184"/>
    </row>
    <row r="5" spans="2:6" x14ac:dyDescent="0.25">
      <c r="B5" s="185" t="s">
        <v>88</v>
      </c>
      <c r="C5" s="185"/>
      <c r="D5" s="185"/>
      <c r="E5" s="185"/>
      <c r="F5" s="185"/>
    </row>
    <row r="6" spans="2:6" x14ac:dyDescent="0.25">
      <c r="B6" s="96" t="s">
        <v>7</v>
      </c>
      <c r="C6" s="186" t="s">
        <v>12</v>
      </c>
      <c r="D6" s="186"/>
      <c r="E6" s="186"/>
      <c r="F6" s="101" t="s">
        <v>26</v>
      </c>
    </row>
    <row r="7" spans="2:6" x14ac:dyDescent="0.25">
      <c r="B7" s="97"/>
      <c r="C7" s="187"/>
      <c r="D7" s="188"/>
      <c r="E7" s="189"/>
      <c r="F7" s="100"/>
    </row>
    <row r="8" spans="2:6" x14ac:dyDescent="0.25">
      <c r="B8" s="98"/>
      <c r="C8" s="62"/>
      <c r="D8" s="62"/>
      <c r="E8" s="62"/>
      <c r="F8" s="102"/>
    </row>
    <row r="9" spans="2:6" x14ac:dyDescent="0.25">
      <c r="B9" s="98"/>
      <c r="C9" s="183"/>
      <c r="D9" s="183"/>
      <c r="E9" s="183"/>
      <c r="F9" s="103"/>
    </row>
    <row r="10" spans="2:6" x14ac:dyDescent="0.25">
      <c r="B10" s="98"/>
      <c r="C10" s="62"/>
      <c r="D10" s="63" t="s">
        <v>55</v>
      </c>
      <c r="E10" s="64"/>
      <c r="F10" s="104">
        <f>SUM(F7:F9)</f>
        <v>0</v>
      </c>
    </row>
    <row r="11" spans="2:6" ht="15.75" thickBot="1" x14ac:dyDescent="0.3">
      <c r="B11" s="98"/>
      <c r="C11" s="62"/>
      <c r="D11" s="62"/>
      <c r="E11" s="62"/>
      <c r="F11" s="102"/>
    </row>
    <row r="12" spans="2:6" ht="19.5" thickBot="1" x14ac:dyDescent="0.35">
      <c r="B12" s="98"/>
      <c r="C12" s="62"/>
      <c r="D12" s="65" t="s">
        <v>56</v>
      </c>
      <c r="E12" s="59"/>
      <c r="F12" s="105">
        <f>F10</f>
        <v>0</v>
      </c>
    </row>
    <row r="13" spans="2:6" x14ac:dyDescent="0.25">
      <c r="B13" s="98"/>
      <c r="C13" s="62"/>
      <c r="D13" s="62"/>
      <c r="E13" s="62"/>
      <c r="F13" s="102"/>
    </row>
  </sheetData>
  <mergeCells count="7">
    <mergeCell ref="C9:E9"/>
    <mergeCell ref="B2:F2"/>
    <mergeCell ref="B3:F3"/>
    <mergeCell ref="B4:F4"/>
    <mergeCell ref="B5:F5"/>
    <mergeCell ref="C6:E6"/>
    <mergeCell ref="C7:E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Working Balance</vt:lpstr>
      <vt:lpstr>Statements</vt:lpstr>
      <vt:lpstr>Bank Statement Transactions</vt:lpstr>
      <vt:lpstr>POH @ Beginning Schedule B</vt:lpstr>
      <vt:lpstr>POH @ End Schedule E</vt:lpstr>
      <vt:lpstr>Schedule A </vt:lpstr>
      <vt:lpstr>Schedule C</vt:lpstr>
      <vt:lpstr>Schedule F</vt:lpstr>
      <vt:lpstr>'POH @ Beginning Schedule B'!Print_Area</vt:lpstr>
      <vt:lpstr>'POH @ End Schedule E'!Print_Area</vt:lpstr>
      <vt:lpstr>'Schedule A '!Print_Area</vt:lpstr>
      <vt:lpstr>'Schedule C'!Print_Area</vt:lpstr>
      <vt:lpstr>'Schedule F'!Print_Area</vt:lpstr>
      <vt:lpstr>'Working Balance'!Print_Area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Fernandez</dc:creator>
  <cp:lastModifiedBy>Chris Fernandez</cp:lastModifiedBy>
  <cp:lastPrinted>2025-12-13T00:26:50Z</cp:lastPrinted>
  <dcterms:created xsi:type="dcterms:W3CDTF">2025-11-25T19:48:33Z</dcterms:created>
  <dcterms:modified xsi:type="dcterms:W3CDTF">2026-03-12T16:58:28Z</dcterms:modified>
</cp:coreProperties>
</file>